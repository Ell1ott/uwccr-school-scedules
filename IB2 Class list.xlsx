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lliottfriedrich/Documents/GitHub/uwccr-school-scedules/"/>
    </mc:Choice>
  </mc:AlternateContent>
  <xr:revisionPtr revIDLastSave="0" documentId="13_ncr:1_{091B2B48-8381-7042-B1DB-E815692B8A7D}" xr6:coauthVersionLast="47" xr6:coauthVersionMax="47" xr10:uidLastSave="{00000000-0000-0000-0000-000000000000}"/>
  <bookViews>
    <workbookView xWindow="0" yWindow="700" windowWidth="34200" windowHeight="214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A32" i="1"/>
  <c r="A31" i="1"/>
  <c r="A30" i="1"/>
  <c r="A29" i="1"/>
  <c r="BX28" i="1"/>
  <c r="A28" i="1"/>
  <c r="BX27" i="1"/>
  <c r="BR27" i="1"/>
  <c r="A27" i="1"/>
  <c r="BX26" i="1"/>
  <c r="BR26" i="1"/>
  <c r="A26" i="1"/>
  <c r="BX25" i="1"/>
  <c r="BR25" i="1"/>
  <c r="AM25" i="1"/>
  <c r="A25" i="1"/>
  <c r="BX24" i="1"/>
  <c r="BR24" i="1"/>
  <c r="AM24" i="1"/>
  <c r="Q24" i="1"/>
  <c r="A24" i="1"/>
  <c r="BX23" i="1"/>
  <c r="BV23" i="1"/>
  <c r="BS23" i="1"/>
  <c r="BR23" i="1"/>
  <c r="BP23" i="1"/>
  <c r="BM23" i="1"/>
  <c r="AM23" i="1"/>
  <c r="Q23" i="1"/>
  <c r="F23" i="1"/>
  <c r="A23" i="1"/>
  <c r="BX22" i="1"/>
  <c r="BV22" i="1"/>
  <c r="BS22" i="1"/>
  <c r="BR22" i="1"/>
  <c r="BP22" i="1"/>
  <c r="BM22" i="1"/>
  <c r="BD22" i="1"/>
  <c r="AY22" i="1"/>
  <c r="AM22" i="1"/>
  <c r="AF22" i="1"/>
  <c r="Q22" i="1"/>
  <c r="F22" i="1"/>
  <c r="A22" i="1"/>
  <c r="BZ21" i="1"/>
  <c r="BY21" i="1"/>
  <c r="BX21" i="1"/>
  <c r="BV21" i="1"/>
  <c r="BU21" i="1"/>
  <c r="BT21" i="1"/>
  <c r="BS21" i="1"/>
  <c r="BR21" i="1"/>
  <c r="BQ21" i="1"/>
  <c r="BP21" i="1"/>
  <c r="BM21" i="1"/>
  <c r="BE21" i="1"/>
  <c r="BD21" i="1"/>
  <c r="AZ21" i="1"/>
  <c r="AY21" i="1"/>
  <c r="AW21" i="1"/>
  <c r="AM21" i="1"/>
  <c r="AF21" i="1"/>
  <c r="Z21" i="1"/>
  <c r="S21" i="1"/>
  <c r="Q21" i="1"/>
  <c r="K21" i="1"/>
  <c r="F21" i="1"/>
  <c r="A21" i="1"/>
  <c r="BZ20" i="1"/>
  <c r="BY20" i="1"/>
  <c r="BX20" i="1"/>
  <c r="BV20" i="1"/>
  <c r="BU20" i="1"/>
  <c r="BT20" i="1"/>
  <c r="BS20" i="1"/>
  <c r="BR20" i="1"/>
  <c r="BQ20" i="1"/>
  <c r="BP20" i="1"/>
  <c r="BN20" i="1"/>
  <c r="BM20" i="1"/>
  <c r="BE20" i="1"/>
  <c r="BD20" i="1"/>
  <c r="AZ20" i="1"/>
  <c r="AY20" i="1"/>
  <c r="AW20" i="1"/>
  <c r="AP20" i="1"/>
  <c r="AM20" i="1"/>
  <c r="AI20" i="1"/>
  <c r="AF20" i="1"/>
  <c r="Z20" i="1"/>
  <c r="S20" i="1"/>
  <c r="Q20" i="1"/>
  <c r="K20" i="1"/>
  <c r="F20" i="1"/>
  <c r="A20" i="1"/>
  <c r="BZ19" i="1"/>
  <c r="BY19" i="1"/>
  <c r="BX19" i="1"/>
  <c r="BV19" i="1"/>
  <c r="BU19" i="1"/>
  <c r="BT19" i="1"/>
  <c r="BS19" i="1"/>
  <c r="BR19" i="1"/>
  <c r="BQ19" i="1"/>
  <c r="BP19" i="1"/>
  <c r="BN19" i="1"/>
  <c r="BM19" i="1"/>
  <c r="BE19" i="1"/>
  <c r="BD19" i="1"/>
  <c r="AZ19" i="1"/>
  <c r="AY19" i="1"/>
  <c r="AW19" i="1"/>
  <c r="AP19" i="1"/>
  <c r="AM19" i="1"/>
  <c r="AI19" i="1"/>
  <c r="AF19" i="1"/>
  <c r="Z19" i="1"/>
  <c r="S19" i="1"/>
  <c r="Q19" i="1"/>
  <c r="O19" i="1"/>
  <c r="K19" i="1"/>
  <c r="F19" i="1"/>
  <c r="B19" i="1"/>
  <c r="A19" i="1"/>
  <c r="BZ18" i="1"/>
  <c r="BY18" i="1"/>
  <c r="BX18" i="1"/>
  <c r="BW18" i="1"/>
  <c r="BV18" i="1"/>
  <c r="BU18" i="1"/>
  <c r="BT18" i="1"/>
  <c r="BS18" i="1"/>
  <c r="BR18" i="1"/>
  <c r="BQ18" i="1"/>
  <c r="BP18" i="1"/>
  <c r="BN18" i="1"/>
  <c r="BM18" i="1"/>
  <c r="BK18" i="1"/>
  <c r="BH18" i="1"/>
  <c r="BG18" i="1"/>
  <c r="BE18" i="1"/>
  <c r="BD18" i="1"/>
  <c r="AZ18" i="1"/>
  <c r="AY18" i="1"/>
  <c r="AW18" i="1"/>
  <c r="AP18" i="1"/>
  <c r="AM18" i="1"/>
  <c r="AI18" i="1"/>
  <c r="AF18" i="1"/>
  <c r="AD18" i="1"/>
  <c r="Z18" i="1"/>
  <c r="S18" i="1"/>
  <c r="Q18" i="1"/>
  <c r="O18" i="1"/>
  <c r="K18" i="1"/>
  <c r="F18" i="1"/>
  <c r="B18" i="1"/>
  <c r="A18" i="1"/>
  <c r="BZ17" i="1"/>
  <c r="BY17" i="1"/>
  <c r="BX17" i="1"/>
  <c r="BW17" i="1"/>
  <c r="BV17" i="1"/>
  <c r="BU17" i="1"/>
  <c r="BT17" i="1"/>
  <c r="BS17" i="1"/>
  <c r="BR17" i="1"/>
  <c r="BQ17" i="1"/>
  <c r="BP17" i="1"/>
  <c r="BN17" i="1"/>
  <c r="BM17" i="1"/>
  <c r="BK17" i="1"/>
  <c r="BJ17" i="1"/>
  <c r="BI17" i="1"/>
  <c r="BH17" i="1"/>
  <c r="BG17" i="1"/>
  <c r="BE17" i="1"/>
  <c r="BD17" i="1"/>
  <c r="AZ17" i="1"/>
  <c r="AY17" i="1"/>
  <c r="AW17" i="1"/>
  <c r="AP17" i="1"/>
  <c r="AM17" i="1"/>
  <c r="AI17" i="1"/>
  <c r="AF17" i="1"/>
  <c r="AD17" i="1"/>
  <c r="Z17" i="1"/>
  <c r="X17" i="1"/>
  <c r="S17" i="1"/>
  <c r="Q17" i="1"/>
  <c r="O17" i="1"/>
  <c r="I17" i="1"/>
  <c r="F17" i="1"/>
  <c r="B17" i="1"/>
  <c r="A17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A16" i="1"/>
  <c r="AZ16" i="1"/>
  <c r="AY16" i="1"/>
  <c r="AX16" i="1"/>
  <c r="AW16" i="1"/>
  <c r="AS16" i="1"/>
  <c r="AP16" i="1"/>
  <c r="AN16" i="1"/>
  <c r="AM16" i="1"/>
  <c r="AI16" i="1"/>
  <c r="AF16" i="1"/>
  <c r="AD16" i="1"/>
  <c r="Z16" i="1"/>
  <c r="X16" i="1"/>
  <c r="U16" i="1"/>
  <c r="S16" i="1"/>
  <c r="Q16" i="1"/>
  <c r="O16" i="1"/>
  <c r="K16" i="1"/>
  <c r="I16" i="1"/>
  <c r="F16" i="1"/>
  <c r="B16" i="1"/>
  <c r="A16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A15" i="1"/>
  <c r="AZ15" i="1"/>
  <c r="AY15" i="1"/>
  <c r="AX15" i="1"/>
  <c r="AW15" i="1"/>
  <c r="AU15" i="1"/>
  <c r="AS15" i="1"/>
  <c r="AP15" i="1"/>
  <c r="AN15" i="1"/>
  <c r="AM15" i="1"/>
  <c r="AI15" i="1"/>
  <c r="AF15" i="1"/>
  <c r="AD15" i="1"/>
  <c r="Z15" i="1"/>
  <c r="X15" i="1"/>
  <c r="U15" i="1"/>
  <c r="S15" i="1"/>
  <c r="Q15" i="1"/>
  <c r="O15" i="1"/>
  <c r="K15" i="1"/>
  <c r="I15" i="1"/>
  <c r="F15" i="1"/>
  <c r="E15" i="1"/>
  <c r="B15" i="1"/>
  <c r="A15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A14" i="1"/>
  <c r="AZ14" i="1"/>
  <c r="AY14" i="1"/>
  <c r="AX14" i="1"/>
  <c r="AW14" i="1"/>
  <c r="AU14" i="1"/>
  <c r="AS14" i="1"/>
  <c r="AP14" i="1"/>
  <c r="AN14" i="1"/>
  <c r="AM14" i="1"/>
  <c r="AI14" i="1"/>
  <c r="AF14" i="1"/>
  <c r="AD14" i="1"/>
  <c r="Z14" i="1"/>
  <c r="X14" i="1"/>
  <c r="U14" i="1"/>
  <c r="S14" i="1"/>
  <c r="Q14" i="1"/>
  <c r="O14" i="1"/>
  <c r="N14" i="1"/>
  <c r="K14" i="1"/>
  <c r="I14" i="1"/>
  <c r="F14" i="1"/>
  <c r="E14" i="1"/>
  <c r="B14" i="1"/>
  <c r="A14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A13" i="1"/>
  <c r="AZ13" i="1"/>
  <c r="AY13" i="1"/>
  <c r="AX13" i="1"/>
  <c r="AW13" i="1"/>
  <c r="AU13" i="1"/>
  <c r="AS13" i="1"/>
  <c r="AP13" i="1"/>
  <c r="AN13" i="1"/>
  <c r="AM13" i="1"/>
  <c r="AK13" i="1"/>
  <c r="AI13" i="1"/>
  <c r="AF13" i="1"/>
  <c r="AD13" i="1"/>
  <c r="Z13" i="1"/>
  <c r="X13" i="1"/>
  <c r="U13" i="1"/>
  <c r="S13" i="1"/>
  <c r="Q13" i="1"/>
  <c r="O13" i="1"/>
  <c r="N13" i="1"/>
  <c r="K13" i="1"/>
  <c r="I13" i="1"/>
  <c r="G13" i="1"/>
  <c r="F13" i="1"/>
  <c r="E13" i="1"/>
  <c r="C13" i="1"/>
  <c r="B13" i="1"/>
  <c r="A13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A12" i="1"/>
  <c r="AZ12" i="1"/>
  <c r="AY12" i="1"/>
  <c r="AX12" i="1"/>
  <c r="AW12" i="1"/>
  <c r="AU12" i="1"/>
  <c r="AT12" i="1"/>
  <c r="AS12" i="1"/>
  <c r="AR12" i="1"/>
  <c r="AP12" i="1"/>
  <c r="AN12" i="1"/>
  <c r="AM12" i="1"/>
  <c r="AK12" i="1"/>
  <c r="AI12" i="1"/>
  <c r="AH12" i="1"/>
  <c r="AF12" i="1"/>
  <c r="AD12" i="1"/>
  <c r="Z12" i="1"/>
  <c r="X12" i="1"/>
  <c r="U12" i="1"/>
  <c r="S12" i="1"/>
  <c r="Q12" i="1"/>
  <c r="O12" i="1"/>
  <c r="N12" i="1"/>
  <c r="K12" i="1"/>
  <c r="I12" i="1"/>
  <c r="G12" i="1"/>
  <c r="F12" i="1"/>
  <c r="E12" i="1"/>
  <c r="C12" i="1"/>
  <c r="B12" i="1"/>
  <c r="A12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U11" i="1"/>
  <c r="AT11" i="1"/>
  <c r="AS11" i="1"/>
  <c r="AR11" i="1"/>
  <c r="AP11" i="1"/>
  <c r="AN11" i="1"/>
  <c r="AM11" i="1"/>
  <c r="AK11" i="1"/>
  <c r="AI11" i="1"/>
  <c r="AH11" i="1"/>
  <c r="AF11" i="1"/>
  <c r="AD11" i="1"/>
  <c r="Z11" i="1"/>
  <c r="X11" i="1"/>
  <c r="W11" i="1"/>
  <c r="U11" i="1"/>
  <c r="S11" i="1"/>
  <c r="Q11" i="1"/>
  <c r="O11" i="1"/>
  <c r="N11" i="1"/>
  <c r="M11" i="1"/>
  <c r="L11" i="1"/>
  <c r="K11" i="1"/>
  <c r="I11" i="1"/>
  <c r="G11" i="1"/>
  <c r="F11" i="1"/>
  <c r="E11" i="1"/>
  <c r="C11" i="1"/>
  <c r="B11" i="1"/>
  <c r="A11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U10" i="1"/>
  <c r="AT10" i="1"/>
  <c r="AS10" i="1"/>
  <c r="AR10" i="1"/>
  <c r="AP10" i="1"/>
  <c r="AO10" i="1"/>
  <c r="AN10" i="1"/>
  <c r="AM10" i="1"/>
  <c r="AK10" i="1"/>
  <c r="AJ10" i="1"/>
  <c r="AI10" i="1"/>
  <c r="AH10" i="1"/>
  <c r="AF10" i="1"/>
  <c r="AD10" i="1"/>
  <c r="AC10" i="1"/>
  <c r="Z10" i="1"/>
  <c r="X10" i="1"/>
  <c r="W10" i="1"/>
  <c r="U10" i="1"/>
  <c r="S10" i="1"/>
  <c r="Q10" i="1"/>
  <c r="O10" i="1"/>
  <c r="N10" i="1"/>
  <c r="M10" i="1"/>
  <c r="L10" i="1"/>
  <c r="K10" i="1"/>
  <c r="I10" i="1"/>
  <c r="G10" i="1"/>
  <c r="F10" i="1"/>
  <c r="E10" i="1"/>
  <c r="C10" i="1"/>
  <c r="B10" i="1"/>
  <c r="A10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U9" i="1"/>
  <c r="AT9" i="1"/>
  <c r="AS9" i="1"/>
  <c r="AR9" i="1"/>
  <c r="AP9" i="1"/>
  <c r="AO9" i="1"/>
  <c r="AN9" i="1"/>
  <c r="AM9" i="1"/>
  <c r="AK9" i="1"/>
  <c r="AJ9" i="1"/>
  <c r="AI9" i="1"/>
  <c r="AH9" i="1"/>
  <c r="AF9" i="1"/>
  <c r="AD9" i="1"/>
  <c r="AC9" i="1"/>
  <c r="AB9" i="1"/>
  <c r="AA9" i="1"/>
  <c r="Z9" i="1"/>
  <c r="Y9" i="1"/>
  <c r="X9" i="1"/>
  <c r="W9" i="1"/>
  <c r="V9" i="1"/>
  <c r="U9" i="1"/>
  <c r="S9" i="1"/>
  <c r="Q9" i="1"/>
  <c r="O9" i="1"/>
  <c r="N9" i="1"/>
  <c r="M9" i="1"/>
  <c r="L9" i="1"/>
  <c r="K9" i="1"/>
  <c r="J9" i="1"/>
  <c r="I9" i="1"/>
  <c r="G9" i="1"/>
  <c r="F9" i="1"/>
  <c r="E9" i="1"/>
  <c r="D9" i="1"/>
  <c r="C9" i="1"/>
  <c r="B9" i="1"/>
  <c r="A9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F8" i="1"/>
  <c r="AD8" i="1"/>
  <c r="AC8" i="1"/>
  <c r="AB8" i="1"/>
  <c r="AA8" i="1"/>
  <c r="Z8" i="1"/>
  <c r="Y8" i="1"/>
  <c r="X8" i="1"/>
  <c r="W8" i="1"/>
  <c r="V8" i="1"/>
  <c r="U8" i="1"/>
  <c r="T8" i="1"/>
  <c r="S8" i="1"/>
  <c r="Q8" i="1"/>
  <c r="O8" i="1"/>
  <c r="N8" i="1"/>
  <c r="M8" i="1"/>
  <c r="L8" i="1"/>
  <c r="K8" i="1"/>
  <c r="J8" i="1"/>
  <c r="I8" i="1"/>
  <c r="G8" i="1"/>
  <c r="F8" i="1"/>
  <c r="E8" i="1"/>
  <c r="D8" i="1"/>
  <c r="C8" i="1"/>
  <c r="B8" i="1"/>
  <c r="A8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U7" i="1"/>
  <c r="AS7" i="1"/>
  <c r="AR7" i="1"/>
  <c r="AP7" i="1"/>
  <c r="AN7" i="1"/>
  <c r="AM7" i="1"/>
  <c r="AK7" i="1"/>
  <c r="AI7" i="1"/>
  <c r="AH7" i="1"/>
  <c r="AF7" i="1"/>
  <c r="AD7" i="1"/>
  <c r="AB7" i="1"/>
  <c r="Z7" i="1"/>
  <c r="X7" i="1"/>
  <c r="W7" i="1"/>
  <c r="U7" i="1"/>
  <c r="S7" i="1"/>
  <c r="Q7" i="1"/>
  <c r="O7" i="1"/>
  <c r="N7" i="1"/>
  <c r="L7" i="1"/>
  <c r="K7" i="1"/>
  <c r="I7" i="1"/>
  <c r="G7" i="1"/>
  <c r="F7" i="1"/>
  <c r="E7" i="1"/>
  <c r="C7" i="1"/>
  <c r="B7" i="1"/>
  <c r="A7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U5" i="1"/>
  <c r="AS5" i="1"/>
  <c r="AR5" i="1"/>
  <c r="AP5" i="1"/>
  <c r="AN5" i="1"/>
  <c r="AM5" i="1"/>
  <c r="AK5" i="1"/>
  <c r="AI5" i="1"/>
  <c r="AH5" i="1"/>
  <c r="AF5" i="1"/>
  <c r="AD5" i="1"/>
  <c r="AB5" i="1"/>
  <c r="Z5" i="1"/>
  <c r="X5" i="1"/>
  <c r="W5" i="1"/>
  <c r="U5" i="1"/>
  <c r="S5" i="1"/>
  <c r="Q5" i="1"/>
  <c r="O5" i="1"/>
  <c r="N5" i="1"/>
  <c r="L5" i="1"/>
  <c r="K5" i="1"/>
  <c r="I5" i="1"/>
  <c r="G5" i="1"/>
  <c r="F5" i="1"/>
  <c r="E5" i="1"/>
  <c r="D5" i="1"/>
  <c r="C5" i="1"/>
  <c r="B5" i="1"/>
  <c r="A5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U4" i="1"/>
  <c r="AS4" i="1"/>
  <c r="AR4" i="1"/>
  <c r="AP4" i="1"/>
  <c r="AN4" i="1"/>
  <c r="AM4" i="1"/>
  <c r="AK4" i="1"/>
  <c r="AI4" i="1"/>
  <c r="AH4" i="1"/>
  <c r="AF4" i="1"/>
  <c r="AD4" i="1"/>
  <c r="AB4" i="1"/>
  <c r="Z4" i="1"/>
  <c r="X4" i="1"/>
  <c r="W4" i="1"/>
  <c r="U4" i="1"/>
  <c r="S4" i="1"/>
  <c r="Q4" i="1"/>
  <c r="O4" i="1"/>
  <c r="N4" i="1"/>
  <c r="L4" i="1"/>
  <c r="K4" i="1"/>
  <c r="I4" i="1"/>
  <c r="G4" i="1"/>
  <c r="F4" i="1"/>
  <c r="E4" i="1"/>
  <c r="C4" i="1"/>
  <c r="B4" i="1"/>
  <c r="A4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J3" i="1"/>
  <c r="I3" i="1"/>
  <c r="H3" i="1"/>
  <c r="G3" i="1"/>
  <c r="F3" i="1"/>
  <c r="E3" i="1"/>
  <c r="D3" i="1"/>
  <c r="C3" i="1"/>
  <c r="B3" i="1"/>
  <c r="A3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U2" i="1"/>
  <c r="AS2" i="1"/>
  <c r="AR2" i="1"/>
  <c r="AP2" i="1"/>
  <c r="AN2" i="1"/>
  <c r="AM2" i="1"/>
  <c r="AK2" i="1"/>
  <c r="AI2" i="1"/>
  <c r="AH2" i="1"/>
  <c r="AF2" i="1"/>
  <c r="AD2" i="1"/>
  <c r="AB2" i="1"/>
  <c r="Z2" i="1"/>
  <c r="X2" i="1"/>
  <c r="W2" i="1"/>
  <c r="U2" i="1"/>
  <c r="S2" i="1"/>
  <c r="Q2" i="1"/>
  <c r="O2" i="1"/>
  <c r="N2" i="1"/>
  <c r="L2" i="1"/>
  <c r="K2" i="1"/>
  <c r="I2" i="1"/>
  <c r="G2" i="1"/>
  <c r="F2" i="1"/>
  <c r="E2" i="1"/>
  <c r="C2" i="1"/>
  <c r="B2" i="1"/>
  <c r="A2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B1" i="1"/>
  <c r="Z1" i="1"/>
  <c r="X1" i="1"/>
  <c r="W1" i="1"/>
  <c r="U1" i="1"/>
  <c r="S1" i="1"/>
  <c r="Q1" i="1"/>
  <c r="O1" i="1"/>
  <c r="N1" i="1"/>
  <c r="L1" i="1"/>
  <c r="I1" i="1"/>
  <c r="G1" i="1"/>
  <c r="F1" i="1"/>
  <c r="E1" i="1"/>
  <c r="C1" i="1"/>
  <c r="B1" i="1"/>
  <c r="A1" i="1"/>
</calcChain>
</file>

<file path=xl/sharedStrings.xml><?xml version="1.0" encoding="utf-8"?>
<sst xmlns="http://schemas.openxmlformats.org/spreadsheetml/2006/main" count="2" uniqueCount="1">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</sst>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0"/>
      <color theme="1"/>
      <name val="Roboto"/>
    </font>
    <font>
      <b/>
      <sz val="12"/>
      <color rgb="FFFFFFFF"/>
      <name val="Arial"/>
    </font>
    <font>
      <b/>
      <sz val="11"/>
      <color rgb="FFFFFFFF"/>
      <name val="Arial"/>
    </font>
    <font>
      <sz val="10"/>
      <color theme="1"/>
      <name val="Arial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34A853"/>
        <bgColor rgb="FF34A853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1" fillId="4" borderId="1" xfId="0" applyFont="1" applyFill="1" applyBorder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7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2" borderId="0" xfId="0" applyFont="1" applyFill="1"/>
    <xf numFmtId="0" fontId="2" fillId="0" borderId="8" xfId="0" applyFont="1" applyBorder="1" applyAlignment="1">
      <alignment wrapText="1"/>
    </xf>
    <xf numFmtId="0" fontId="2" fillId="8" borderId="2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5" fillId="3" borderId="9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7" fillId="0" borderId="0" xfId="0" applyFont="1"/>
    <xf numFmtId="0" fontId="2" fillId="5" borderId="7" xfId="0" applyFont="1" applyFill="1" applyBorder="1" applyAlignment="1">
      <alignment horizontal="center" wrapText="1"/>
    </xf>
    <xf numFmtId="0" fontId="3" fillId="0" borderId="6" xfId="0" applyFont="1" applyBorder="1"/>
    <xf numFmtId="0" fontId="2" fillId="4" borderId="4" xfId="0" applyFont="1" applyFill="1" applyBorder="1" applyAlignment="1">
      <alignment horizontal="center" wrapText="1"/>
    </xf>
    <xf numFmtId="0" fontId="3" fillId="0" borderId="3" xfId="0" applyFont="1" applyBorder="1"/>
    <xf numFmtId="0" fontId="2" fillId="4" borderId="7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>
    <tableStyle name="Hoja 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Z8:AB33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K42"/>
  <sheetViews>
    <sheetView tabSelected="1" topLeftCell="H1" zoomScale="134" workbookViewId="0">
      <selection activeCell="J13" sqref="J13"/>
    </sheetView>
  </sheetViews>
  <sheetFormatPr baseColWidth="10" defaultColWidth="12.6640625" defaultRowHeight="15.75" customHeight="1" x14ac:dyDescent="0.15"/>
  <sheetData>
    <row r="1" spans="1:89" ht="15.75" customHeight="1" x14ac:dyDescent="0.15">
      <c r="A1" s="1" t="str">
        <f ca="1">IFERROR(__xludf.DUMMYFUNCTION("IMPORTRANGE(""https://docs.google.com/spreadsheets/d/1OBdfoQvLuf_Ld9vAgqtWD112JR-INZ9PGEHYlI_L1vI/edit?usp=sharing"", ""IB 1 Class Lists!A1:CA42"")"),"")</f>
        <v/>
      </c>
      <c r="B1" s="2" t="str">
        <f ca="1">IFERROR(__xludf.DUMMYFUNCTION("""COMPUTED_VALUE"""),"A")</f>
        <v>A</v>
      </c>
      <c r="C1" s="42" t="str">
        <f ca="1">IFERROR(__xludf.DUMMYFUNCTION("""COMPUTED_VALUE"""),"A ")</f>
        <v xml:space="preserve">A </v>
      </c>
      <c r="D1" s="40"/>
      <c r="E1" s="4" t="str">
        <f ca="1">IFERROR(__xludf.DUMMYFUNCTION("""COMPUTED_VALUE"""),"A")</f>
        <v>A</v>
      </c>
      <c r="F1" s="2" t="str">
        <f ca="1">IFERROR(__xludf.DUMMYFUNCTION("""COMPUTED_VALUE"""),"A")</f>
        <v>A</v>
      </c>
      <c r="G1" s="42" t="str">
        <f ca="1">IFERROR(__xludf.DUMMYFUNCTION("""COMPUTED_VALUE"""),"A")</f>
        <v>A</v>
      </c>
      <c r="H1" s="40"/>
      <c r="I1" s="42" t="str">
        <f ca="1">IFERROR(__xludf.DUMMYFUNCTION("""COMPUTED_VALUE"""),"A")</f>
        <v>A</v>
      </c>
      <c r="J1" s="40"/>
      <c r="K1" s="53" t="s">
        <v>0</v>
      </c>
      <c r="L1" s="42" t="str">
        <f ca="1">IFERROR(__xludf.DUMMYFUNCTION("""COMPUTED_VALUE"""),"A")</f>
        <v>A</v>
      </c>
      <c r="M1" s="40"/>
      <c r="N1" s="5" t="str">
        <f ca="1">IFERROR(__xludf.DUMMYFUNCTION("""COMPUTED_VALUE"""),"B")</f>
        <v>B</v>
      </c>
      <c r="O1" s="45" t="str">
        <f ca="1">IFERROR(__xludf.DUMMYFUNCTION("""COMPUTED_VALUE"""),"B")</f>
        <v>B</v>
      </c>
      <c r="P1" s="40"/>
      <c r="Q1" s="45" t="str">
        <f ca="1">IFERROR(__xludf.DUMMYFUNCTION("""COMPUTED_VALUE"""),"B")</f>
        <v>B</v>
      </c>
      <c r="R1" s="40"/>
      <c r="S1" s="45" t="str">
        <f ca="1">IFERROR(__xludf.DUMMYFUNCTION("""COMPUTED_VALUE"""),"B")</f>
        <v>B</v>
      </c>
      <c r="T1" s="40"/>
      <c r="U1" s="45" t="str">
        <f ca="1">IFERROR(__xludf.DUMMYFUNCTION("""COMPUTED_VALUE"""),"B")</f>
        <v>B</v>
      </c>
      <c r="V1" s="40"/>
      <c r="W1" s="5" t="str">
        <f ca="1">IFERROR(__xludf.DUMMYFUNCTION("""COMPUTED_VALUE"""),"B")</f>
        <v>B</v>
      </c>
      <c r="X1" s="45" t="str">
        <f ca="1">IFERROR(__xludf.DUMMYFUNCTION("""COMPUTED_VALUE"""),"B")</f>
        <v>B</v>
      </c>
      <c r="Y1" s="40"/>
      <c r="Z1" s="46" t="str">
        <f ca="1">IFERROR(__xludf.DUMMYFUNCTION("""COMPUTED_VALUE"""),"C")</f>
        <v>C</v>
      </c>
      <c r="AA1" s="40"/>
      <c r="AB1" s="46" t="str">
        <f ca="1">IFERROR(__xludf.DUMMYFUNCTION("""COMPUTED_VALUE"""),"C")</f>
        <v>C</v>
      </c>
      <c r="AC1" s="40"/>
      <c r="AD1" s="46" t="str">
        <f ca="1">IFERROR(__xludf.DUMMYFUNCTION("""COMPUTED_VALUE"""),"C")</f>
        <v>C</v>
      </c>
      <c r="AE1" s="40"/>
      <c r="AF1" s="46" t="str">
        <f ca="1">IFERROR(__xludf.DUMMYFUNCTION("""COMPUTED_VALUE"""),"C")</f>
        <v>C</v>
      </c>
      <c r="AG1" s="40"/>
      <c r="AH1" s="6" t="str">
        <f ca="1">IFERROR(__xludf.DUMMYFUNCTION("""COMPUTED_VALUE"""),"C")</f>
        <v>C</v>
      </c>
      <c r="AI1" s="46" t="str">
        <f ca="1">IFERROR(__xludf.DUMMYFUNCTION("""COMPUTED_VALUE"""),"C")</f>
        <v>C</v>
      </c>
      <c r="AJ1" s="40"/>
      <c r="AK1" s="46" t="str">
        <f ca="1">IFERROR(__xludf.DUMMYFUNCTION("""COMPUTED_VALUE"""),"C")</f>
        <v>C</v>
      </c>
      <c r="AL1" s="40"/>
      <c r="AM1" s="6" t="str">
        <f ca="1">IFERROR(__xludf.DUMMYFUNCTION("""COMPUTED_VALUE"""),"C")</f>
        <v>C</v>
      </c>
      <c r="AN1" s="47" t="str">
        <f ca="1">IFERROR(__xludf.DUMMYFUNCTION("""COMPUTED_VALUE"""),"D")</f>
        <v>D</v>
      </c>
      <c r="AO1" s="40"/>
      <c r="AP1" s="47" t="str">
        <f ca="1">IFERROR(__xludf.DUMMYFUNCTION("""COMPUTED_VALUE"""),"D")</f>
        <v>D</v>
      </c>
      <c r="AQ1" s="40"/>
      <c r="AR1" s="7" t="str">
        <f ca="1">IFERROR(__xludf.DUMMYFUNCTION("""COMPUTED_VALUE"""),"D")</f>
        <v>D</v>
      </c>
      <c r="AS1" s="47" t="str">
        <f ca="1">IFERROR(__xludf.DUMMYFUNCTION("""COMPUTED_VALUE"""),"D")</f>
        <v>D</v>
      </c>
      <c r="AT1" s="40"/>
      <c r="AU1" s="47" t="str">
        <f ca="1">IFERROR(__xludf.DUMMYFUNCTION("""COMPUTED_VALUE"""),"D")</f>
        <v>D</v>
      </c>
      <c r="AV1" s="40"/>
      <c r="AW1" s="7" t="str">
        <f ca="1">IFERROR(__xludf.DUMMYFUNCTION("""COMPUTED_VALUE"""),"D")</f>
        <v>D</v>
      </c>
      <c r="AX1" s="2" t="str">
        <f ca="1">IFERROR(__xludf.DUMMYFUNCTION("""COMPUTED_VALUE"""),"D")</f>
        <v>D</v>
      </c>
      <c r="AY1" s="2" t="str">
        <f ca="1">IFERROR(__xludf.DUMMYFUNCTION("""COMPUTED_VALUE"""),"E")</f>
        <v>E</v>
      </c>
      <c r="AZ1" s="2" t="str">
        <f ca="1">IFERROR(__xludf.DUMMYFUNCTION("""COMPUTED_VALUE"""),"E")</f>
        <v>E</v>
      </c>
      <c r="BA1" s="2" t="str">
        <f ca="1">IFERROR(__xludf.DUMMYFUNCTION("""COMPUTED_VALUE"""),"E")</f>
        <v>E</v>
      </c>
      <c r="BB1" s="2" t="str">
        <f ca="1">IFERROR(__xludf.DUMMYFUNCTION("""COMPUTED_VALUE"""),"E")</f>
        <v>E</v>
      </c>
      <c r="BC1" s="2" t="str">
        <f ca="1">IFERROR(__xludf.DUMMYFUNCTION("""COMPUTED_VALUE"""),"E")</f>
        <v>E</v>
      </c>
      <c r="BD1" s="2" t="str">
        <f ca="1">IFERROR(__xludf.DUMMYFUNCTION("""COMPUTED_VALUE"""),"E")</f>
        <v>E</v>
      </c>
      <c r="BE1" s="2" t="str">
        <f ca="1">IFERROR(__xludf.DUMMYFUNCTION("""COMPUTED_VALUE"""),"E")</f>
        <v>E</v>
      </c>
      <c r="BF1" s="5" t="str">
        <f ca="1">IFERROR(__xludf.DUMMYFUNCTION("""COMPUTED_VALUE"""),"E")</f>
        <v>E</v>
      </c>
      <c r="BG1" s="5" t="str">
        <f ca="1">IFERROR(__xludf.DUMMYFUNCTION("""COMPUTED_VALUE"""),"F")</f>
        <v>F</v>
      </c>
      <c r="BH1" s="5" t="str">
        <f ca="1">IFERROR(__xludf.DUMMYFUNCTION("""COMPUTED_VALUE"""),"F")</f>
        <v>F</v>
      </c>
      <c r="BI1" s="8" t="str">
        <f ca="1">IFERROR(__xludf.DUMMYFUNCTION("""COMPUTED_VALUE"""),"F")</f>
        <v>F</v>
      </c>
      <c r="BJ1" s="5" t="str">
        <f ca="1">IFERROR(__xludf.DUMMYFUNCTION("""COMPUTED_VALUE"""),"F")</f>
        <v>F</v>
      </c>
      <c r="BK1" s="5" t="str">
        <f ca="1">IFERROR(__xludf.DUMMYFUNCTION("""COMPUTED_VALUE"""),"F")</f>
        <v>F</v>
      </c>
      <c r="BL1" s="5" t="str">
        <f ca="1">IFERROR(__xludf.DUMMYFUNCTION("""COMPUTED_VALUE"""),"F")</f>
        <v>F</v>
      </c>
      <c r="BM1" s="5" t="str">
        <f ca="1">IFERROR(__xludf.DUMMYFUNCTION("""COMPUTED_VALUE"""),"F")</f>
        <v>F</v>
      </c>
      <c r="BN1" s="5" t="str">
        <f ca="1">IFERROR(__xludf.DUMMYFUNCTION("""COMPUTED_VALUE"""),"F")</f>
        <v>F</v>
      </c>
      <c r="BO1" s="6" t="str">
        <f ca="1">IFERROR(__xludf.DUMMYFUNCTION("""COMPUTED_VALUE"""),"F")</f>
        <v>F</v>
      </c>
      <c r="BP1" s="6" t="str">
        <f ca="1">IFERROR(__xludf.DUMMYFUNCTION("""COMPUTED_VALUE"""),"G")</f>
        <v>G</v>
      </c>
      <c r="BQ1" s="6" t="str">
        <f ca="1">IFERROR(__xludf.DUMMYFUNCTION("""COMPUTED_VALUE"""),"G")</f>
        <v>G</v>
      </c>
      <c r="BR1" s="6" t="str">
        <f ca="1">IFERROR(__xludf.DUMMYFUNCTION("""COMPUTED_VALUE"""),"G")</f>
        <v>G</v>
      </c>
      <c r="BS1" s="6" t="str">
        <f ca="1">IFERROR(__xludf.DUMMYFUNCTION("""COMPUTED_VALUE"""),"G")</f>
        <v>G</v>
      </c>
      <c r="BT1" s="6" t="str">
        <f ca="1">IFERROR(__xludf.DUMMYFUNCTION("""COMPUTED_VALUE"""),"G")</f>
        <v>G</v>
      </c>
      <c r="BU1" s="7" t="str">
        <f ca="1">IFERROR(__xludf.DUMMYFUNCTION("""COMPUTED_VALUE"""),"G")</f>
        <v>G</v>
      </c>
      <c r="BV1" s="7" t="str">
        <f ca="1">IFERROR(__xludf.DUMMYFUNCTION("""COMPUTED_VALUE"""),"H")</f>
        <v>H</v>
      </c>
      <c r="BW1" s="7" t="str">
        <f ca="1">IFERROR(__xludf.DUMMYFUNCTION("""COMPUTED_VALUE"""),"H")</f>
        <v>H</v>
      </c>
      <c r="BX1" s="7" t="str">
        <f ca="1">IFERROR(__xludf.DUMMYFUNCTION("""COMPUTED_VALUE"""),"H")</f>
        <v>H</v>
      </c>
      <c r="BY1" s="7" t="str">
        <f ca="1">IFERROR(__xludf.DUMMYFUNCTION("""COMPUTED_VALUE"""),"H")</f>
        <v>H</v>
      </c>
      <c r="BZ1" s="7" t="str">
        <f ca="1">IFERROR(__xludf.DUMMYFUNCTION("""COMPUTED_VALUE"""),"H")</f>
        <v>H</v>
      </c>
      <c r="CA1" s="7" t="str">
        <f ca="1">IFERROR(__xludf.DUMMYFUNCTION("""COMPUTED_VALUE"""),"H")</f>
        <v>H</v>
      </c>
      <c r="CB1" s="9"/>
      <c r="CC1" s="9"/>
      <c r="CD1" s="9"/>
      <c r="CE1" s="9"/>
      <c r="CF1" s="9"/>
      <c r="CG1" s="9"/>
      <c r="CH1" s="9"/>
      <c r="CI1" s="9"/>
      <c r="CJ1" s="9"/>
      <c r="CK1" s="9"/>
    </row>
    <row r="2" spans="1:89" ht="15.75" customHeight="1" x14ac:dyDescent="0.15">
      <c r="A2" s="10" t="str">
        <f ca="1">IFERROR(__xludf.DUMMYFUNCTION("""COMPUTED_VALUE"""),"Subject")</f>
        <v>Subject</v>
      </c>
      <c r="B2" s="2" t="str">
        <f ca="1">IFERROR(__xludf.DUMMYFUNCTION("""COMPUTED_VALUE"""),"Spanish Lang &amp; Lit")</f>
        <v>Spanish Lang &amp; Lit</v>
      </c>
      <c r="C2" s="43" t="str">
        <f ca="1">IFERROR(__xludf.DUMMYFUNCTION("""COMPUTED_VALUE"""),"Anthropology")</f>
        <v>Anthropology</v>
      </c>
      <c r="D2" s="40"/>
      <c r="E2" s="11" t="str">
        <f ca="1">IFERROR(__xludf.DUMMYFUNCTION("""COMPUTED_VALUE"""),"English Lang &amp; Lit")</f>
        <v>English Lang &amp; Lit</v>
      </c>
      <c r="F2" s="4" t="str">
        <f ca="1">IFERROR(__xludf.DUMMYFUNCTION("""COMPUTED_VALUE"""),"Global Politics")</f>
        <v>Global Politics</v>
      </c>
      <c r="G2" s="43" t="str">
        <f ca="1">IFERROR(__xludf.DUMMYFUNCTION("""COMPUTED_VALUE"""),"Psychology")</f>
        <v>Psychology</v>
      </c>
      <c r="H2" s="40"/>
      <c r="I2" s="43" t="str">
        <f ca="1">IFERROR(__xludf.DUMMYFUNCTION("""COMPUTED_VALUE"""),"Biology")</f>
        <v>Biology</v>
      </c>
      <c r="J2" s="40"/>
      <c r="K2" s="4" t="str">
        <f ca="1">IFERROR(__xludf.DUMMYFUNCTION("""COMPUTED_VALUE"""),"Physics")</f>
        <v>Physics</v>
      </c>
      <c r="L2" s="43" t="str">
        <f ca="1">IFERROR(__xludf.DUMMYFUNCTION("""COMPUTED_VALUE"""),"French B ")</f>
        <v xml:space="preserve">French B </v>
      </c>
      <c r="M2" s="40"/>
      <c r="N2" s="12" t="str">
        <f ca="1">IFERROR(__xludf.DUMMYFUNCTION("""COMPUTED_VALUE"""),"English Lang &amp; Lit")</f>
        <v>English Lang &amp; Lit</v>
      </c>
      <c r="O2" s="39" t="str">
        <f ca="1">IFERROR(__xludf.DUMMYFUNCTION("""COMPUTED_VALUE"""),"Psychology")</f>
        <v>Psychology</v>
      </c>
      <c r="P2" s="40"/>
      <c r="Q2" s="39" t="str">
        <f ca="1">IFERROR(__xludf.DUMMYFUNCTION("""COMPUTED_VALUE"""),"Global Politics")</f>
        <v>Global Politics</v>
      </c>
      <c r="R2" s="40"/>
      <c r="S2" s="39" t="str">
        <f ca="1">IFERROR(__xludf.DUMMYFUNCTION("""COMPUTED_VALUE"""),"Economics")</f>
        <v>Economics</v>
      </c>
      <c r="T2" s="40"/>
      <c r="U2" s="39" t="str">
        <f ca="1">IFERROR(__xludf.DUMMYFUNCTION("""COMPUTED_VALUE"""),"Visual Arts")</f>
        <v>Visual Arts</v>
      </c>
      <c r="V2" s="40"/>
      <c r="W2" s="12" t="str">
        <f ca="1">IFERROR(__xludf.DUMMYFUNCTION("""COMPUTED_VALUE"""),"Math Analysis and Approaches")</f>
        <v>Math Analysis and Approaches</v>
      </c>
      <c r="X2" s="39" t="str">
        <f ca="1">IFERROR(__xludf.DUMMYFUNCTION("""COMPUTED_VALUE"""),"Theatre")</f>
        <v>Theatre</v>
      </c>
      <c r="Y2" s="40"/>
      <c r="Z2" s="48" t="str">
        <f ca="1">IFERROR(__xludf.DUMMYFUNCTION("""COMPUTED_VALUE"""),"Anthropology")</f>
        <v>Anthropology</v>
      </c>
      <c r="AA2" s="40"/>
      <c r="AB2" s="48" t="str">
        <f ca="1">IFERROR(__xludf.DUMMYFUNCTION("""COMPUTED_VALUE"""),"Historia")</f>
        <v>Historia</v>
      </c>
      <c r="AC2" s="40"/>
      <c r="AD2" s="46" t="str">
        <f ca="1">IFERROR(__xludf.DUMMYFUNCTION("""COMPUTED_VALUE"""),"Global Politics")</f>
        <v>Global Politics</v>
      </c>
      <c r="AE2" s="40"/>
      <c r="AF2" s="48" t="str">
        <f ca="1">IFERROR(__xludf.DUMMYFUNCTION("""COMPUTED_VALUE"""),"Chemistry")</f>
        <v>Chemistry</v>
      </c>
      <c r="AG2" s="40"/>
      <c r="AH2" s="13" t="str">
        <f ca="1">IFERROR(__xludf.DUMMYFUNCTION("""COMPUTED_VALUE"""),"Math AA")</f>
        <v>Math AA</v>
      </c>
      <c r="AI2" s="48" t="str">
        <f ca="1">IFERROR(__xludf.DUMMYFUNCTION("""COMPUTED_VALUE"""),"Economics")</f>
        <v>Economics</v>
      </c>
      <c r="AJ2" s="40"/>
      <c r="AK2" s="48" t="str">
        <f ca="1">IFERROR(__xludf.DUMMYFUNCTION("""COMPUTED_VALUE"""),"Visual Arts")</f>
        <v>Visual Arts</v>
      </c>
      <c r="AL2" s="40"/>
      <c r="AM2" s="13" t="str">
        <f ca="1">IFERROR(__xludf.DUMMYFUNCTION("""COMPUTED_VALUE"""),"ESS")</f>
        <v>ESS</v>
      </c>
      <c r="AN2" s="49" t="str">
        <f ca="1">IFERROR(__xludf.DUMMYFUNCTION("""COMPUTED_VALUE"""),"English B")</f>
        <v>English B</v>
      </c>
      <c r="AO2" s="40"/>
      <c r="AP2" s="49" t="str">
        <f ca="1">IFERROR(__xludf.DUMMYFUNCTION("""COMPUTED_VALUE"""),"GloPo")</f>
        <v>GloPo</v>
      </c>
      <c r="AQ2" s="40"/>
      <c r="AR2" s="14" t="str">
        <f ca="1">IFERROR(__xludf.DUMMYFUNCTION("""COMPUTED_VALUE"""),"Spanish B")</f>
        <v>Spanish B</v>
      </c>
      <c r="AS2" s="49" t="str">
        <f ca="1">IFERROR(__xludf.DUMMYFUNCTION("""COMPUTED_VALUE"""),"Biology")</f>
        <v>Biology</v>
      </c>
      <c r="AT2" s="40"/>
      <c r="AU2" s="49" t="str">
        <f ca="1">IFERROR(__xludf.DUMMYFUNCTION("""COMPUTED_VALUE"""),"English Lit")</f>
        <v>English Lit</v>
      </c>
      <c r="AV2" s="40"/>
      <c r="AW2" s="14" t="str">
        <f ca="1">IFERROR(__xludf.DUMMYFUNCTION("""COMPUTED_VALUE"""),"Chemistry")</f>
        <v>Chemistry</v>
      </c>
      <c r="AX2" s="4" t="str">
        <f ca="1">IFERROR(__xludf.DUMMYFUNCTION("""COMPUTED_VALUE"""),"Physics")</f>
        <v>Physics</v>
      </c>
      <c r="AY2" s="4" t="str">
        <f ca="1">IFERROR(__xludf.DUMMYFUNCTION("""COMPUTED_VALUE"""),"Spanish Lang Lit")</f>
        <v>Spanish Lang Lit</v>
      </c>
      <c r="AZ2" s="4" t="str">
        <f ca="1">IFERROR(__xludf.DUMMYFUNCTION("""COMPUTED_VALUE"""),"Spanish AB")</f>
        <v>Spanish AB</v>
      </c>
      <c r="BA2" s="4" t="str">
        <f ca="1">IFERROR(__xludf.DUMMYFUNCTION("""COMPUTED_VALUE"""),"Physics")</f>
        <v>Physics</v>
      </c>
      <c r="BB2" s="4" t="str">
        <f ca="1">IFERROR(__xludf.DUMMYFUNCTION("""COMPUTED_VALUE"""),"Chemistry")</f>
        <v>Chemistry</v>
      </c>
      <c r="BC2" s="4" t="str">
        <f ca="1">IFERROR(__xludf.DUMMYFUNCTION("""COMPUTED_VALUE"""),"Maths A&amp;A")</f>
        <v>Maths A&amp;A</v>
      </c>
      <c r="BD2" s="4" t="str">
        <f ca="1">IFERROR(__xludf.DUMMYFUNCTION("""COMPUTED_VALUE"""),"Maths A&amp;I")</f>
        <v>Maths A&amp;I</v>
      </c>
      <c r="BE2" s="4" t="str">
        <f ca="1">IFERROR(__xludf.DUMMYFUNCTION("""COMPUTED_VALUE"""),"Eng L&amp;L")</f>
        <v>Eng L&amp;L</v>
      </c>
      <c r="BF2" s="12" t="str">
        <f ca="1">IFERROR(__xludf.DUMMYFUNCTION("""COMPUTED_VALUE"""),"TOK")</f>
        <v>TOK</v>
      </c>
      <c r="BG2" s="12" t="str">
        <f ca="1">IFERROR(__xludf.DUMMYFUNCTION("""COMPUTED_VALUE"""),"Eng L&amp;L")</f>
        <v>Eng L&amp;L</v>
      </c>
      <c r="BH2" s="12" t="str">
        <f ca="1">IFERROR(__xludf.DUMMYFUNCTION("""COMPUTED_VALUE"""),"Spanish AB")</f>
        <v>Spanish AB</v>
      </c>
      <c r="BI2" s="12" t="str">
        <f ca="1">IFERROR(__xludf.DUMMYFUNCTION("""COMPUTED_VALUE"""),"Spanish B")</f>
        <v>Spanish B</v>
      </c>
      <c r="BJ2" s="12" t="str">
        <f ca="1">IFERROR(__xludf.DUMMYFUNCTION("""COMPUTED_VALUE"""),"Spanish B")</f>
        <v>Spanish B</v>
      </c>
      <c r="BK2" s="12" t="str">
        <f ca="1">IFERROR(__xludf.DUMMYFUNCTION("""COMPUTED_VALUE"""),"Spanish AB")</f>
        <v>Spanish AB</v>
      </c>
      <c r="BL2" s="12" t="str">
        <f ca="1">IFERROR(__xludf.DUMMYFUNCTION("""COMPUTED_VALUE"""),"Maths A&amp;A")</f>
        <v>Maths A&amp;A</v>
      </c>
      <c r="BM2" s="12" t="str">
        <f ca="1">IFERROR(__xludf.DUMMYFUNCTION("""COMPUTED_VALUE"""),"Mate A&amp;I")</f>
        <v>Mate A&amp;I</v>
      </c>
      <c r="BN2" s="12" t="str">
        <f ca="1">IFERROR(__xludf.DUMMYFUNCTION("""COMPUTED_VALUE"""),"TOK")</f>
        <v>TOK</v>
      </c>
      <c r="BO2" s="13" t="str">
        <f ca="1">IFERROR(__xludf.DUMMYFUNCTION("""COMPUTED_VALUE"""),"TDC")</f>
        <v>TDC</v>
      </c>
      <c r="BP2" s="13" t="str">
        <f ca="1">IFERROR(__xludf.DUMMYFUNCTION("""COMPUTED_VALUE"""),"English Lang &amp; Lit")</f>
        <v>English Lang &amp; Lit</v>
      </c>
      <c r="BQ2" s="13" t="str">
        <f ca="1">IFERROR(__xludf.DUMMYFUNCTION("""COMPUTED_VALUE"""),"Maths A&amp;A")</f>
        <v>Maths A&amp;A</v>
      </c>
      <c r="BR2" s="13" t="str">
        <f ca="1">IFERROR(__xludf.DUMMYFUNCTION("""COMPUTED_VALUE"""),"Maths A&amp;I")</f>
        <v>Maths A&amp;I</v>
      </c>
      <c r="BS2" s="13" t="str">
        <f ca="1">IFERROR(__xludf.DUMMYFUNCTION("""COMPUTED_VALUE"""),"TDC")</f>
        <v>TDC</v>
      </c>
      <c r="BT2" s="13" t="str">
        <f ca="1">IFERROR(__xludf.DUMMYFUNCTION("""COMPUTED_VALUE"""),"TOK")</f>
        <v>TOK</v>
      </c>
      <c r="BU2" s="14" t="str">
        <f ca="1">IFERROR(__xludf.DUMMYFUNCTION("""COMPUTED_VALUE"""),"TOK")</f>
        <v>TOK</v>
      </c>
      <c r="BV2" s="14" t="str">
        <f ca="1">IFERROR(__xludf.DUMMYFUNCTION("""COMPUTED_VALUE"""),"English LangLit")</f>
        <v>English LangLit</v>
      </c>
      <c r="BW2" s="14" t="str">
        <f ca="1">IFERROR(__xludf.DUMMYFUNCTION("""COMPUTED_VALUE"""),"SSST")</f>
        <v>SSST</v>
      </c>
      <c r="BX2" s="14" t="str">
        <f ca="1">IFERROR(__xludf.DUMMYFUNCTION("""COMPUTED_VALUE"""),"ESS")</f>
        <v>ESS</v>
      </c>
      <c r="BY2" s="14" t="str">
        <f ca="1">IFERROR(__xludf.DUMMYFUNCTION("""COMPUTED_VALUE"""),"TOK")</f>
        <v>TOK</v>
      </c>
      <c r="BZ2" s="14" t="str">
        <f ca="1">IFERROR(__xludf.DUMMYFUNCTION("""COMPUTED_VALUE"""),"TOK")</f>
        <v>TOK</v>
      </c>
      <c r="CA2" s="7" t="str">
        <f ca="1">IFERROR(__xludf.DUMMYFUNCTION("""COMPUTED_VALUE"""),"Maths A&amp;A")</f>
        <v>Maths A&amp;A</v>
      </c>
      <c r="CB2" s="9"/>
      <c r="CC2" s="9"/>
      <c r="CD2" s="9"/>
      <c r="CE2" s="9"/>
      <c r="CF2" s="9"/>
      <c r="CG2" s="9"/>
      <c r="CH2" s="9"/>
      <c r="CI2" s="9"/>
      <c r="CJ2" s="9"/>
      <c r="CK2" s="9"/>
    </row>
    <row r="3" spans="1:89" ht="15.75" customHeight="1" x14ac:dyDescent="0.15">
      <c r="A3" s="10" t="str">
        <f ca="1">IFERROR(__xludf.DUMMYFUNCTION("""COMPUTED_VALUE"""),"Level")</f>
        <v>Level</v>
      </c>
      <c r="B3" s="15" t="str">
        <f ca="1">IFERROR(__xludf.DUMMYFUNCTION("""COMPUTED_VALUE"""),"HL")</f>
        <v>HL</v>
      </c>
      <c r="C3" s="16" t="str">
        <f ca="1">IFERROR(__xludf.DUMMYFUNCTION("""COMPUTED_VALUE"""),"HL")</f>
        <v>HL</v>
      </c>
      <c r="D3" s="16" t="str">
        <f ca="1">IFERROR(__xludf.DUMMYFUNCTION("""COMPUTED_VALUE"""),"SL")</f>
        <v>SL</v>
      </c>
      <c r="E3" s="17" t="str">
        <f ca="1">IFERROR(__xludf.DUMMYFUNCTION("""COMPUTED_VALUE"""),"HL")</f>
        <v>HL</v>
      </c>
      <c r="F3" s="16" t="str">
        <f ca="1">IFERROR(__xludf.DUMMYFUNCTION("""COMPUTED_VALUE"""),"HL")</f>
        <v>HL</v>
      </c>
      <c r="G3" s="16" t="str">
        <f ca="1">IFERROR(__xludf.DUMMYFUNCTION("""COMPUTED_VALUE"""),"HL")</f>
        <v>HL</v>
      </c>
      <c r="H3" s="16" t="str">
        <f ca="1">IFERROR(__xludf.DUMMYFUNCTION("""COMPUTED_VALUE"""),"SL")</f>
        <v>SL</v>
      </c>
      <c r="I3" s="16" t="str">
        <f ca="1">IFERROR(__xludf.DUMMYFUNCTION("""COMPUTED_VALUE"""),"HL")</f>
        <v>HL</v>
      </c>
      <c r="J3" s="16" t="str">
        <f ca="1">IFERROR(__xludf.DUMMYFUNCTION("""COMPUTED_VALUE"""),"SL")</f>
        <v>SL</v>
      </c>
      <c r="K3" s="52" t="s">
        <v>0</v>
      </c>
      <c r="L3" s="16" t="str">
        <f ca="1">IFERROR(__xludf.DUMMYFUNCTION("""COMPUTED_VALUE"""),"HL")</f>
        <v>HL</v>
      </c>
      <c r="M3" s="16" t="str">
        <f ca="1">IFERROR(__xludf.DUMMYFUNCTION("""COMPUTED_VALUE"""),"SL")</f>
        <v>SL</v>
      </c>
      <c r="N3" s="18" t="str">
        <f ca="1">IFERROR(__xludf.DUMMYFUNCTION("""COMPUTED_VALUE"""),"HL")</f>
        <v>HL</v>
      </c>
      <c r="O3" s="18" t="str">
        <f ca="1">IFERROR(__xludf.DUMMYFUNCTION("""COMPUTED_VALUE"""),"HL")</f>
        <v>HL</v>
      </c>
      <c r="P3" s="18" t="str">
        <f ca="1">IFERROR(__xludf.DUMMYFUNCTION("""COMPUTED_VALUE"""),"SL")</f>
        <v>SL</v>
      </c>
      <c r="Q3" s="18" t="str">
        <f ca="1">IFERROR(__xludf.DUMMYFUNCTION("""COMPUTED_VALUE"""),"HL")</f>
        <v>HL</v>
      </c>
      <c r="R3" s="18" t="str">
        <f ca="1">IFERROR(__xludf.DUMMYFUNCTION("""COMPUTED_VALUE"""),"SL")</f>
        <v>SL</v>
      </c>
      <c r="S3" s="18" t="str">
        <f ca="1">IFERROR(__xludf.DUMMYFUNCTION("""COMPUTED_VALUE"""),"HL")</f>
        <v>HL</v>
      </c>
      <c r="T3" s="18" t="str">
        <f ca="1">IFERROR(__xludf.DUMMYFUNCTION("""COMPUTED_VALUE"""),"SL")</f>
        <v>SL</v>
      </c>
      <c r="U3" s="18" t="str">
        <f ca="1">IFERROR(__xludf.DUMMYFUNCTION("""COMPUTED_VALUE"""),"HL")</f>
        <v>HL</v>
      </c>
      <c r="V3" s="18" t="str">
        <f ca="1">IFERROR(__xludf.DUMMYFUNCTION("""COMPUTED_VALUE"""),"SL")</f>
        <v>SL</v>
      </c>
      <c r="W3" s="18" t="str">
        <f ca="1">IFERROR(__xludf.DUMMYFUNCTION("""COMPUTED_VALUE"""),"HL")</f>
        <v>HL</v>
      </c>
      <c r="X3" s="18" t="str">
        <f ca="1">IFERROR(__xludf.DUMMYFUNCTION("""COMPUTED_VALUE"""),"HL")</f>
        <v>HL</v>
      </c>
      <c r="Y3" s="18" t="str">
        <f ca="1">IFERROR(__xludf.DUMMYFUNCTION("""COMPUTED_VALUE"""),"SL")</f>
        <v>SL</v>
      </c>
      <c r="Z3" s="19" t="str">
        <f ca="1">IFERROR(__xludf.DUMMYFUNCTION("""COMPUTED_VALUE"""),"HL")</f>
        <v>HL</v>
      </c>
      <c r="AA3" s="19" t="str">
        <f ca="1">IFERROR(__xludf.DUMMYFUNCTION("""COMPUTED_VALUE"""),"SL")</f>
        <v>SL</v>
      </c>
      <c r="AB3" s="19" t="str">
        <f ca="1">IFERROR(__xludf.DUMMYFUNCTION("""COMPUTED_VALUE"""),"HL")</f>
        <v>HL</v>
      </c>
      <c r="AC3" s="19" t="str">
        <f ca="1">IFERROR(__xludf.DUMMYFUNCTION("""COMPUTED_VALUE"""),"SL")</f>
        <v>SL</v>
      </c>
      <c r="AD3" s="6" t="str">
        <f ca="1">IFERROR(__xludf.DUMMYFUNCTION("""COMPUTED_VALUE"""),"HL")</f>
        <v>HL</v>
      </c>
      <c r="AE3" s="6" t="str">
        <f ca="1">IFERROR(__xludf.DUMMYFUNCTION("""COMPUTED_VALUE"""),"SL")</f>
        <v>SL</v>
      </c>
      <c r="AF3" s="19" t="str">
        <f ca="1">IFERROR(__xludf.DUMMYFUNCTION("""COMPUTED_VALUE"""),"HL")</f>
        <v>HL</v>
      </c>
      <c r="AG3" s="19" t="str">
        <f ca="1">IFERROR(__xludf.DUMMYFUNCTION("""COMPUTED_VALUE"""),"SL")</f>
        <v>SL</v>
      </c>
      <c r="AH3" s="19" t="str">
        <f ca="1">IFERROR(__xludf.DUMMYFUNCTION("""COMPUTED_VALUE"""),"HL")</f>
        <v>HL</v>
      </c>
      <c r="AI3" s="19" t="str">
        <f ca="1">IFERROR(__xludf.DUMMYFUNCTION("""COMPUTED_VALUE"""),"HL")</f>
        <v>HL</v>
      </c>
      <c r="AJ3" s="19" t="str">
        <f ca="1">IFERROR(__xludf.DUMMYFUNCTION("""COMPUTED_VALUE"""),"SL")</f>
        <v>SL</v>
      </c>
      <c r="AK3" s="19" t="str">
        <f ca="1">IFERROR(__xludf.DUMMYFUNCTION("""COMPUTED_VALUE"""),"HL")</f>
        <v>HL</v>
      </c>
      <c r="AL3" s="19" t="str">
        <f ca="1">IFERROR(__xludf.DUMMYFUNCTION("""COMPUTED_VALUE"""),"SL")</f>
        <v>SL</v>
      </c>
      <c r="AM3" s="19" t="str">
        <f ca="1">IFERROR(__xludf.DUMMYFUNCTION("""COMPUTED_VALUE"""),"HL")</f>
        <v>HL</v>
      </c>
      <c r="AN3" s="20" t="str">
        <f ca="1">IFERROR(__xludf.DUMMYFUNCTION("""COMPUTED_VALUE"""),"HL")</f>
        <v>HL</v>
      </c>
      <c r="AO3" s="20" t="str">
        <f ca="1">IFERROR(__xludf.DUMMYFUNCTION("""COMPUTED_VALUE"""),"SL")</f>
        <v>SL</v>
      </c>
      <c r="AP3" s="20" t="str">
        <f ca="1">IFERROR(__xludf.DUMMYFUNCTION("""COMPUTED_VALUE"""),"HL")</f>
        <v>HL</v>
      </c>
      <c r="AQ3" s="20" t="str">
        <f ca="1">IFERROR(__xludf.DUMMYFUNCTION("""COMPUTED_VALUE"""),"SL")</f>
        <v>SL</v>
      </c>
      <c r="AR3" s="20" t="str">
        <f ca="1">IFERROR(__xludf.DUMMYFUNCTION("""COMPUTED_VALUE"""),"HL")</f>
        <v>HL</v>
      </c>
      <c r="AS3" s="20" t="str">
        <f ca="1">IFERROR(__xludf.DUMMYFUNCTION("""COMPUTED_VALUE"""),"HL")</f>
        <v>HL</v>
      </c>
      <c r="AT3" s="20" t="str">
        <f ca="1">IFERROR(__xludf.DUMMYFUNCTION("""COMPUTED_VALUE"""),"SL")</f>
        <v>SL</v>
      </c>
      <c r="AU3" s="20" t="str">
        <f ca="1">IFERROR(__xludf.DUMMYFUNCTION("""COMPUTED_VALUE"""),"HL")</f>
        <v>HL</v>
      </c>
      <c r="AV3" s="20" t="str">
        <f ca="1">IFERROR(__xludf.DUMMYFUNCTION("""COMPUTED_VALUE"""),"SL")</f>
        <v>SL</v>
      </c>
      <c r="AW3" s="20" t="str">
        <f ca="1">IFERROR(__xludf.DUMMYFUNCTION("""COMPUTED_VALUE"""),"HL")</f>
        <v>HL</v>
      </c>
      <c r="AX3" s="16" t="str">
        <f ca="1">IFERROR(__xludf.DUMMYFUNCTION("""COMPUTED_VALUE"""),"HL")</f>
        <v>HL</v>
      </c>
      <c r="AY3" s="16" t="str">
        <f ca="1">IFERROR(__xludf.DUMMYFUNCTION("""COMPUTED_VALUE"""),"SL")</f>
        <v>SL</v>
      </c>
      <c r="AZ3" s="16" t="str">
        <f ca="1">IFERROR(__xludf.DUMMYFUNCTION("""COMPUTED_VALUE"""),"SL")</f>
        <v>SL</v>
      </c>
      <c r="BA3" s="16" t="str">
        <f ca="1">IFERROR(__xludf.DUMMYFUNCTION("""COMPUTED_VALUE"""),"SL")</f>
        <v>SL</v>
      </c>
      <c r="BB3" s="16" t="str">
        <f ca="1">IFERROR(__xludf.DUMMYFUNCTION("""COMPUTED_VALUE"""),"SL")</f>
        <v>SL</v>
      </c>
      <c r="BC3" s="16" t="str">
        <f ca="1">IFERROR(__xludf.DUMMYFUNCTION("""COMPUTED_VALUE"""),"SL")</f>
        <v>SL</v>
      </c>
      <c r="BD3" s="16" t="str">
        <f ca="1">IFERROR(__xludf.DUMMYFUNCTION("""COMPUTED_VALUE"""),"SL")</f>
        <v>SL</v>
      </c>
      <c r="BE3" s="16" t="str">
        <f ca="1">IFERROR(__xludf.DUMMYFUNCTION("""COMPUTED_VALUE"""),"SL")</f>
        <v>SL</v>
      </c>
      <c r="BF3" s="18" t="str">
        <f ca="1">IFERROR(__xludf.DUMMYFUNCTION("""COMPUTED_VALUE"""),"TK")</f>
        <v>TK</v>
      </c>
      <c r="BG3" s="18" t="str">
        <f ca="1">IFERROR(__xludf.DUMMYFUNCTION("""COMPUTED_VALUE"""),"SL")</f>
        <v>SL</v>
      </c>
      <c r="BH3" s="18" t="str">
        <f ca="1">IFERROR(__xludf.DUMMYFUNCTION("""COMPUTED_VALUE"""),"SL")</f>
        <v>SL</v>
      </c>
      <c r="BI3" s="18" t="str">
        <f ca="1">IFERROR(__xludf.DUMMYFUNCTION("""COMPUTED_VALUE"""),"SL")</f>
        <v>SL</v>
      </c>
      <c r="BJ3" s="18" t="str">
        <f ca="1">IFERROR(__xludf.DUMMYFUNCTION("""COMPUTED_VALUE"""),"SL")</f>
        <v>SL</v>
      </c>
      <c r="BK3" s="18" t="str">
        <f ca="1">IFERROR(__xludf.DUMMYFUNCTION("""COMPUTED_VALUE"""),"SL")</f>
        <v>SL</v>
      </c>
      <c r="BL3" s="18" t="str">
        <f ca="1">IFERROR(__xludf.DUMMYFUNCTION("""COMPUTED_VALUE"""),"SL")</f>
        <v>SL</v>
      </c>
      <c r="BM3" s="18" t="str">
        <f ca="1">IFERROR(__xludf.DUMMYFUNCTION("""COMPUTED_VALUE"""),"NM")</f>
        <v>NM</v>
      </c>
      <c r="BN3" s="18" t="str">
        <f ca="1">IFERROR(__xludf.DUMMYFUNCTION("""COMPUTED_VALUE"""),"TK")</f>
        <v>TK</v>
      </c>
      <c r="BO3" s="19" t="str">
        <f ca="1">IFERROR(__xludf.DUMMYFUNCTION("""COMPUTED_VALUE"""),"TK")</f>
        <v>TK</v>
      </c>
      <c r="BP3" s="19" t="str">
        <f ca="1">IFERROR(__xludf.DUMMYFUNCTION("""COMPUTED_VALUE"""),"SL")</f>
        <v>SL</v>
      </c>
      <c r="BQ3" s="19" t="str">
        <f ca="1">IFERROR(__xludf.DUMMYFUNCTION("""COMPUTED_VALUE"""),"SL")</f>
        <v>SL</v>
      </c>
      <c r="BR3" s="19" t="str">
        <f ca="1">IFERROR(__xludf.DUMMYFUNCTION("""COMPUTED_VALUE"""),"SL")</f>
        <v>SL</v>
      </c>
      <c r="BS3" s="19" t="str">
        <f ca="1">IFERROR(__xludf.DUMMYFUNCTION("""COMPUTED_VALUE"""),"TK")</f>
        <v>TK</v>
      </c>
      <c r="BT3" s="19" t="str">
        <f ca="1">IFERROR(__xludf.DUMMYFUNCTION("""COMPUTED_VALUE"""),"TK")</f>
        <v>TK</v>
      </c>
      <c r="BU3" s="20" t="str">
        <f ca="1">IFERROR(__xludf.DUMMYFUNCTION("""COMPUTED_VALUE"""),"TK")</f>
        <v>TK</v>
      </c>
      <c r="BV3" s="20" t="str">
        <f ca="1">IFERROR(__xludf.DUMMYFUNCTION("""COMPUTED_VALUE"""),"SL")</f>
        <v>SL</v>
      </c>
      <c r="BW3" s="20" t="str">
        <f ca="1">IFERROR(__xludf.DUMMYFUNCTION("""COMPUTED_VALUE"""),"SL")</f>
        <v>SL</v>
      </c>
      <c r="BX3" s="20" t="str">
        <f ca="1">IFERROR(__xludf.DUMMYFUNCTION("""COMPUTED_VALUE"""),"SL")</f>
        <v>SL</v>
      </c>
      <c r="BY3" s="20" t="str">
        <f ca="1">IFERROR(__xludf.DUMMYFUNCTION("""COMPUTED_VALUE"""),"TK")</f>
        <v>TK</v>
      </c>
      <c r="BZ3" s="20" t="str">
        <f ca="1">IFERROR(__xludf.DUMMYFUNCTION("""COMPUTED_VALUE"""),"TK")</f>
        <v>TK</v>
      </c>
      <c r="CA3" s="7" t="str">
        <f ca="1">IFERROR(__xludf.DUMMYFUNCTION("""COMPUTED_VALUE"""),"SL")</f>
        <v>SL</v>
      </c>
      <c r="CB3" s="9"/>
      <c r="CC3" s="9"/>
      <c r="CD3" s="9"/>
      <c r="CE3" s="9"/>
      <c r="CF3" s="9"/>
      <c r="CG3" s="9"/>
      <c r="CH3" s="9"/>
      <c r="CI3" s="9"/>
      <c r="CJ3" s="9"/>
      <c r="CK3" s="9"/>
    </row>
    <row r="4" spans="1:89" ht="15.75" customHeight="1" x14ac:dyDescent="0.15">
      <c r="A4" s="10" t="str">
        <f ca="1">IFERROR(__xludf.DUMMYFUNCTION("""COMPUTED_VALUE"""),"Teacher")</f>
        <v>Teacher</v>
      </c>
      <c r="B4" s="15" t="str">
        <f ca="1">IFERROR(__xludf.DUMMYFUNCTION("""COMPUTED_VALUE"""),"Rolando")</f>
        <v>Rolando</v>
      </c>
      <c r="C4" s="44" t="str">
        <f ca="1">IFERROR(__xludf.DUMMYFUNCTION("""COMPUTED_VALUE"""),"Jeff L")</f>
        <v>Jeff L</v>
      </c>
      <c r="D4" s="38"/>
      <c r="E4" s="17" t="str">
        <f ca="1">IFERROR(__xludf.DUMMYFUNCTION("""COMPUTED_VALUE"""),"Christine")</f>
        <v>Christine</v>
      </c>
      <c r="F4" s="16" t="str">
        <f ca="1">IFERROR(__xludf.DUMMYFUNCTION("""COMPUTED_VALUE"""),"Tiya")</f>
        <v>Tiya</v>
      </c>
      <c r="G4" s="44" t="str">
        <f ca="1">IFERROR(__xludf.DUMMYFUNCTION("""COMPUTED_VALUE"""),"Karlina")</f>
        <v>Karlina</v>
      </c>
      <c r="H4" s="38"/>
      <c r="I4" s="44" t="str">
        <f ca="1">IFERROR(__xludf.DUMMYFUNCTION("""COMPUTED_VALUE"""),"Jeff")</f>
        <v>Jeff</v>
      </c>
      <c r="J4" s="38"/>
      <c r="K4" s="16" t="str">
        <f ca="1">IFERROR(__xludf.DUMMYFUNCTION("""COMPUTED_VALUE"""),"Erick")</f>
        <v>Erick</v>
      </c>
      <c r="L4" s="44" t="str">
        <f ca="1">IFERROR(__xludf.DUMMYFUNCTION("""COMPUTED_VALUE"""),"Andrés")</f>
        <v>Andrés</v>
      </c>
      <c r="M4" s="38"/>
      <c r="N4" s="18" t="str">
        <f ca="1">IFERROR(__xludf.DUMMYFUNCTION("""COMPUTED_VALUE"""),"Christine")</f>
        <v>Christine</v>
      </c>
      <c r="O4" s="41" t="str">
        <f ca="1">IFERROR(__xludf.DUMMYFUNCTION("""COMPUTED_VALUE"""),"Karlina")</f>
        <v>Karlina</v>
      </c>
      <c r="P4" s="38"/>
      <c r="Q4" s="41" t="str">
        <f ca="1">IFERROR(__xludf.DUMMYFUNCTION("""COMPUTED_VALUE"""),"Ryan")</f>
        <v>Ryan</v>
      </c>
      <c r="R4" s="38"/>
      <c r="S4" s="41" t="str">
        <f ca="1">IFERROR(__xludf.DUMMYFUNCTION("""COMPUTED_VALUE"""),"Brian")</f>
        <v>Brian</v>
      </c>
      <c r="T4" s="38"/>
      <c r="U4" s="41" t="str">
        <f ca="1">IFERROR(__xludf.DUMMYFUNCTION("""COMPUTED_VALUE"""),"Melissa")</f>
        <v>Melissa</v>
      </c>
      <c r="V4" s="38"/>
      <c r="W4" s="18" t="str">
        <f ca="1">IFERROR(__xludf.DUMMYFUNCTION("""COMPUTED_VALUE"""),"Chris")</f>
        <v>Chris</v>
      </c>
      <c r="X4" s="41" t="str">
        <f ca="1">IFERROR(__xludf.DUMMYFUNCTION("""COMPUTED_VALUE"""),"Andrés")</f>
        <v>Andrés</v>
      </c>
      <c r="Y4" s="38"/>
      <c r="Z4" s="37" t="str">
        <f ca="1">IFERROR(__xludf.DUMMYFUNCTION("""COMPUTED_VALUE"""),"Jeff L")</f>
        <v>Jeff L</v>
      </c>
      <c r="AA4" s="38"/>
      <c r="AB4" s="37" t="str">
        <f ca="1">IFERROR(__xludf.DUMMYFUNCTION("""COMPUTED_VALUE"""),"Norman")</f>
        <v>Norman</v>
      </c>
      <c r="AC4" s="38"/>
      <c r="AD4" s="37" t="str">
        <f ca="1">IFERROR(__xludf.DUMMYFUNCTION("""COMPUTED_VALUE"""),"Tiya")</f>
        <v>Tiya</v>
      </c>
      <c r="AE4" s="38"/>
      <c r="AF4" s="37" t="str">
        <f ca="1">IFERROR(__xludf.DUMMYFUNCTION("""COMPUTED_VALUE"""),"Karina")</f>
        <v>Karina</v>
      </c>
      <c r="AG4" s="38"/>
      <c r="AH4" s="19" t="str">
        <f ca="1">IFERROR(__xludf.DUMMYFUNCTION("""COMPUTED_VALUE"""),"Chris")</f>
        <v>Chris</v>
      </c>
      <c r="AI4" s="37" t="str">
        <f ca="1">IFERROR(__xludf.DUMMYFUNCTION("""COMPUTED_VALUE"""),"Brian")</f>
        <v>Brian</v>
      </c>
      <c r="AJ4" s="38"/>
      <c r="AK4" s="37" t="str">
        <f ca="1">IFERROR(__xludf.DUMMYFUNCTION("""COMPUTED_VALUE"""),"Melissa")</f>
        <v>Melissa</v>
      </c>
      <c r="AL4" s="38"/>
      <c r="AM4" s="19" t="str">
        <f ca="1">IFERROR(__xludf.DUMMYFUNCTION("""COMPUTED_VALUE"""),"Heidy")</f>
        <v>Heidy</v>
      </c>
      <c r="AN4" s="50" t="str">
        <f ca="1">IFERROR(__xludf.DUMMYFUNCTION("""COMPUTED_VALUE"""),"Mauricio")</f>
        <v>Mauricio</v>
      </c>
      <c r="AO4" s="38"/>
      <c r="AP4" s="50" t="str">
        <f ca="1">IFERROR(__xludf.DUMMYFUNCTION("""COMPUTED_VALUE"""),"Ryan")</f>
        <v>Ryan</v>
      </c>
      <c r="AQ4" s="38"/>
      <c r="AR4" s="20" t="str">
        <f ca="1">IFERROR(__xludf.DUMMYFUNCTION("""COMPUTED_VALUE"""),"Ana Teresa")</f>
        <v>Ana Teresa</v>
      </c>
      <c r="AS4" s="50" t="str">
        <f ca="1">IFERROR(__xludf.DUMMYFUNCTION("""COMPUTED_VALUE"""),"Jeff N.")</f>
        <v>Jeff N.</v>
      </c>
      <c r="AT4" s="38"/>
      <c r="AU4" s="50" t="str">
        <f ca="1">IFERROR(__xludf.DUMMYFUNCTION("""COMPUTED_VALUE"""),"Heloise")</f>
        <v>Heloise</v>
      </c>
      <c r="AV4" s="38"/>
      <c r="AW4" s="20" t="str">
        <f ca="1">IFERROR(__xludf.DUMMYFUNCTION("""COMPUTED_VALUE"""),"Karina")</f>
        <v>Karina</v>
      </c>
      <c r="AX4" s="16" t="str">
        <f ca="1">IFERROR(__xludf.DUMMYFUNCTION("""COMPUTED_VALUE"""),"Erick")</f>
        <v>Erick</v>
      </c>
      <c r="AY4" s="16" t="str">
        <f ca="1">IFERROR(__xludf.DUMMYFUNCTION("""COMPUTED_VALUE"""),"Rolando")</f>
        <v>Rolando</v>
      </c>
      <c r="AZ4" s="16" t="str">
        <f ca="1">IFERROR(__xludf.DUMMYFUNCTION("""COMPUTED_VALUE"""),"Ana Teresa")</f>
        <v>Ana Teresa</v>
      </c>
      <c r="BA4" s="16" t="str">
        <f ca="1">IFERROR(__xludf.DUMMYFUNCTION("""COMPUTED_VALUE"""),"Erick")</f>
        <v>Erick</v>
      </c>
      <c r="BB4" s="16" t="str">
        <f ca="1">IFERROR(__xludf.DUMMYFUNCTION("""COMPUTED_VALUE"""),"Karina")</f>
        <v>Karina</v>
      </c>
      <c r="BC4" s="16" t="str">
        <f ca="1">IFERROR(__xludf.DUMMYFUNCTION("""COMPUTED_VALUE"""),"JD")</f>
        <v>JD</v>
      </c>
      <c r="BD4" s="16" t="str">
        <f ca="1">IFERROR(__xludf.DUMMYFUNCTION("""COMPUTED_VALUE"""),"Éricka")</f>
        <v>Éricka</v>
      </c>
      <c r="BE4" s="16" t="str">
        <f ca="1">IFERROR(__xludf.DUMMYFUNCTION("""COMPUTED_VALUE"""),"Sofía")</f>
        <v>Sofía</v>
      </c>
      <c r="BF4" s="18" t="str">
        <f ca="1">IFERROR(__xludf.DUMMYFUNCTION("""COMPUTED_VALUE"""),"Tiya")</f>
        <v>Tiya</v>
      </c>
      <c r="BG4" s="18" t="str">
        <f ca="1">IFERROR(__xludf.DUMMYFUNCTION("""COMPUTED_VALUE"""),"Sofía")</f>
        <v>Sofía</v>
      </c>
      <c r="BH4" s="18" t="str">
        <f ca="1">IFERROR(__xludf.DUMMYFUNCTION("""COMPUTED_VALUE"""),"QQ")</f>
        <v>QQ</v>
      </c>
      <c r="BI4" s="18" t="str">
        <f ca="1">IFERROR(__xludf.DUMMYFUNCTION("""COMPUTED_VALUE"""),"Ana Teresa")</f>
        <v>Ana Teresa</v>
      </c>
      <c r="BJ4" s="18" t="str">
        <f ca="1">IFERROR(__xludf.DUMMYFUNCTION("""COMPUTED_VALUE"""),"Paula")</f>
        <v>Paula</v>
      </c>
      <c r="BK4" s="18" t="str">
        <f ca="1">IFERROR(__xludf.DUMMYFUNCTION("""COMPUTED_VALUE"""),"Andrés")</f>
        <v>Andrés</v>
      </c>
      <c r="BL4" s="18" t="str">
        <f ca="1">IFERROR(__xludf.DUMMYFUNCTION("""COMPUTED_VALUE"""),"JD")</f>
        <v>JD</v>
      </c>
      <c r="BM4" s="18" t="str">
        <f ca="1">IFERROR(__xludf.DUMMYFUNCTION("""COMPUTED_VALUE"""),"Éricka")</f>
        <v>Éricka</v>
      </c>
      <c r="BN4" s="18" t="str">
        <f ca="1">IFERROR(__xludf.DUMMYFUNCTION("""COMPUTED_VALUE"""),"Meli")</f>
        <v>Meli</v>
      </c>
      <c r="BO4" s="19" t="str">
        <f ca="1">IFERROR(__xludf.DUMMYFUNCTION("""COMPUTED_VALUE"""),"Norman")</f>
        <v>Norman</v>
      </c>
      <c r="BP4" s="19" t="str">
        <f ca="1">IFERROR(__xludf.DUMMYFUNCTION("""COMPUTED_VALUE"""),"Sofía")</f>
        <v>Sofía</v>
      </c>
      <c r="BQ4" s="19" t="str">
        <f ca="1">IFERROR(__xludf.DUMMYFUNCTION("""COMPUTED_VALUE"""),"JD")</f>
        <v>JD</v>
      </c>
      <c r="BR4" s="19" t="str">
        <f ca="1">IFERROR(__xludf.DUMMYFUNCTION("""COMPUTED_VALUE"""),"Carolina")</f>
        <v>Carolina</v>
      </c>
      <c r="BS4" s="19" t="str">
        <f ca="1">IFERROR(__xludf.DUMMYFUNCTION("""COMPUTED_VALUE"""),"Norman")</f>
        <v>Norman</v>
      </c>
      <c r="BT4" s="19" t="str">
        <f ca="1">IFERROR(__xludf.DUMMYFUNCTION("""COMPUTED_VALUE"""),"Tiya")</f>
        <v>Tiya</v>
      </c>
      <c r="BU4" s="20" t="str">
        <f ca="1">IFERROR(__xludf.DUMMYFUNCTION("""COMPUTED_VALUE"""),"QQ")</f>
        <v>QQ</v>
      </c>
      <c r="BV4" s="20" t="str">
        <f ca="1">IFERROR(__xludf.DUMMYFUNCTION("""COMPUTED_VALUE"""),"Sofía")</f>
        <v>Sofía</v>
      </c>
      <c r="BW4" s="7" t="str">
        <f ca="1">IFERROR(__xludf.DUMMYFUNCTION("""COMPUTED_VALUE"""),"Rolando")</f>
        <v>Rolando</v>
      </c>
      <c r="BX4" s="20" t="str">
        <f ca="1">IFERROR(__xludf.DUMMYFUNCTION("""COMPUTED_VALUE"""),"Heidy")</f>
        <v>Heidy</v>
      </c>
      <c r="BY4" s="20" t="str">
        <f ca="1">IFERROR(__xludf.DUMMYFUNCTION("""COMPUTED_VALUE"""),"Jeff Lile")</f>
        <v>Jeff Lile</v>
      </c>
      <c r="BZ4" s="20" t="str">
        <f ca="1">IFERROR(__xludf.DUMMYFUNCTION("""COMPUTED_VALUE"""),"Christine")</f>
        <v>Christine</v>
      </c>
      <c r="CA4" s="7" t="str">
        <f ca="1">IFERROR(__xludf.DUMMYFUNCTION("""COMPUTED_VALUE"""),"JD")</f>
        <v>JD</v>
      </c>
      <c r="CB4" s="9"/>
      <c r="CC4" s="9"/>
      <c r="CD4" s="9"/>
      <c r="CE4" s="9"/>
      <c r="CF4" s="9"/>
      <c r="CG4" s="9"/>
      <c r="CH4" s="9"/>
      <c r="CI4" s="9"/>
      <c r="CJ4" s="9"/>
      <c r="CK4" s="9"/>
    </row>
    <row r="5" spans="1:89" ht="15.75" customHeight="1" x14ac:dyDescent="0.15">
      <c r="A5" s="21" t="str">
        <f ca="1">IFERROR(__xludf.DUMMYFUNCTION("""COMPUTED_VALUE"""),"Room")</f>
        <v>Room</v>
      </c>
      <c r="B5" s="15">
        <f ca="1">IFERROR(__xludf.DUMMYFUNCTION("""COMPUTED_VALUE"""),5)</f>
        <v>5</v>
      </c>
      <c r="C5" s="16">
        <f ca="1">IFERROR(__xludf.DUMMYFUNCTION("""COMPUTED_VALUE"""),12)</f>
        <v>12</v>
      </c>
      <c r="D5" s="16">
        <f ca="1">IFERROR(__xludf.DUMMYFUNCTION("""COMPUTED_VALUE"""),12)</f>
        <v>12</v>
      </c>
      <c r="E5" s="16">
        <f ca="1">IFERROR(__xludf.DUMMYFUNCTION("""COMPUTED_VALUE"""),17)</f>
        <v>17</v>
      </c>
      <c r="F5" s="16">
        <f ca="1">IFERROR(__xludf.DUMMYFUNCTION("""COMPUTED_VALUE"""),2)</f>
        <v>2</v>
      </c>
      <c r="G5" s="44">
        <f ca="1">IFERROR(__xludf.DUMMYFUNCTION("""COMPUTED_VALUE"""),4)</f>
        <v>4</v>
      </c>
      <c r="H5" s="38"/>
      <c r="I5" s="44">
        <f ca="1">IFERROR(__xludf.DUMMYFUNCTION("""COMPUTED_VALUE"""),15)</f>
        <v>15</v>
      </c>
      <c r="J5" s="38"/>
      <c r="K5" s="16">
        <f ca="1">IFERROR(__xludf.DUMMYFUNCTION("""COMPUTED_VALUE"""),14)</f>
        <v>14</v>
      </c>
      <c r="L5" s="44">
        <f ca="1">IFERROR(__xludf.DUMMYFUNCTION("""COMPUTED_VALUE"""),1)</f>
        <v>1</v>
      </c>
      <c r="M5" s="38"/>
      <c r="N5" s="18">
        <f ca="1">IFERROR(__xludf.DUMMYFUNCTION("""COMPUTED_VALUE"""),17)</f>
        <v>17</v>
      </c>
      <c r="O5" s="41">
        <f ca="1">IFERROR(__xludf.DUMMYFUNCTION("""COMPUTED_VALUE"""),4)</f>
        <v>4</v>
      </c>
      <c r="P5" s="38"/>
      <c r="Q5" s="41">
        <f ca="1">IFERROR(__xludf.DUMMYFUNCTION("""COMPUTED_VALUE"""),10)</f>
        <v>10</v>
      </c>
      <c r="R5" s="38"/>
      <c r="S5" s="41">
        <f ca="1">IFERROR(__xludf.DUMMYFUNCTION("""COMPUTED_VALUE"""),9)</f>
        <v>9</v>
      </c>
      <c r="T5" s="38"/>
      <c r="U5" s="41">
        <f ca="1">IFERROR(__xludf.DUMMYFUNCTION("""COMPUTED_VALUE"""),3)</f>
        <v>3</v>
      </c>
      <c r="V5" s="38"/>
      <c r="W5" s="18">
        <f ca="1">IFERROR(__xludf.DUMMYFUNCTION("""COMPUTED_VALUE"""),8)</f>
        <v>8</v>
      </c>
      <c r="X5" s="41">
        <f ca="1">IFERROR(__xludf.DUMMYFUNCTION("""COMPUTED_VALUE"""),1)</f>
        <v>1</v>
      </c>
      <c r="Y5" s="38"/>
      <c r="Z5" s="37">
        <f ca="1">IFERROR(__xludf.DUMMYFUNCTION("""COMPUTED_VALUE"""),12)</f>
        <v>12</v>
      </c>
      <c r="AA5" s="38"/>
      <c r="AB5" s="37">
        <f ca="1">IFERROR(__xludf.DUMMYFUNCTION("""COMPUTED_VALUE"""),11)</f>
        <v>11</v>
      </c>
      <c r="AC5" s="38"/>
      <c r="AD5" s="37">
        <f ca="1">IFERROR(__xludf.DUMMYFUNCTION("""COMPUTED_VALUE"""),2)</f>
        <v>2</v>
      </c>
      <c r="AE5" s="38"/>
      <c r="AF5" s="37">
        <f ca="1">IFERROR(__xludf.DUMMYFUNCTION("""COMPUTED_VALUE"""),13)</f>
        <v>13</v>
      </c>
      <c r="AG5" s="38"/>
      <c r="AH5" s="19">
        <f ca="1">IFERROR(__xludf.DUMMYFUNCTION("""COMPUTED_VALUE"""),8)</f>
        <v>8</v>
      </c>
      <c r="AI5" s="37">
        <f ca="1">IFERROR(__xludf.DUMMYFUNCTION("""COMPUTED_VALUE"""),7)</f>
        <v>7</v>
      </c>
      <c r="AJ5" s="38"/>
      <c r="AK5" s="37">
        <f ca="1">IFERROR(__xludf.DUMMYFUNCTION("""COMPUTED_VALUE"""),3)</f>
        <v>3</v>
      </c>
      <c r="AL5" s="38"/>
      <c r="AM5" s="19">
        <f ca="1">IFERROR(__xludf.DUMMYFUNCTION("""COMPUTED_VALUE"""),9)</f>
        <v>9</v>
      </c>
      <c r="AN5" s="51">
        <f ca="1">IFERROR(__xludf.DUMMYFUNCTION("""COMPUTED_VALUE"""),5)</f>
        <v>5</v>
      </c>
      <c r="AO5" s="38"/>
      <c r="AP5" s="50">
        <f ca="1">IFERROR(__xludf.DUMMYFUNCTION("""COMPUTED_VALUE"""),10)</f>
        <v>10</v>
      </c>
      <c r="AQ5" s="38"/>
      <c r="AR5" s="20">
        <f ca="1">IFERROR(__xludf.DUMMYFUNCTION("""COMPUTED_VALUE"""),6)</f>
        <v>6</v>
      </c>
      <c r="AS5" s="50">
        <f ca="1">IFERROR(__xludf.DUMMYFUNCTION("""COMPUTED_VALUE"""),15)</f>
        <v>15</v>
      </c>
      <c r="AT5" s="38"/>
      <c r="AU5" s="50">
        <f ca="1">IFERROR(__xludf.DUMMYFUNCTION("""COMPUTED_VALUE"""),16)</f>
        <v>16</v>
      </c>
      <c r="AV5" s="38"/>
      <c r="AW5" s="20">
        <f ca="1">IFERROR(__xludf.DUMMYFUNCTION("""COMPUTED_VALUE"""),13)</f>
        <v>13</v>
      </c>
      <c r="AX5" s="16">
        <f ca="1">IFERROR(__xludf.DUMMYFUNCTION("""COMPUTED_VALUE"""),14)</f>
        <v>14</v>
      </c>
      <c r="AY5" s="16">
        <f ca="1">IFERROR(__xludf.DUMMYFUNCTION("""COMPUTED_VALUE"""),5)</f>
        <v>5</v>
      </c>
      <c r="AZ5" s="16">
        <f ca="1">IFERROR(__xludf.DUMMYFUNCTION("""COMPUTED_VALUE"""),6)</f>
        <v>6</v>
      </c>
      <c r="BA5" s="16">
        <f ca="1">IFERROR(__xludf.DUMMYFUNCTION("""COMPUTED_VALUE"""),14)</f>
        <v>14</v>
      </c>
      <c r="BB5" s="16">
        <f ca="1">IFERROR(__xludf.DUMMYFUNCTION("""COMPUTED_VALUE"""),13)</f>
        <v>13</v>
      </c>
      <c r="BC5" s="16">
        <f ca="1">IFERROR(__xludf.DUMMYFUNCTION("""COMPUTED_VALUE"""),10)</f>
        <v>10</v>
      </c>
      <c r="BD5" s="16">
        <f ca="1">IFERROR(__xludf.DUMMYFUNCTION("""COMPUTED_VALUE"""),12)</f>
        <v>12</v>
      </c>
      <c r="BE5" s="16">
        <f ca="1">IFERROR(__xludf.DUMMYFUNCTION("""COMPUTED_VALUE"""),16)</f>
        <v>16</v>
      </c>
      <c r="BF5" s="18">
        <f ca="1">IFERROR(__xludf.DUMMYFUNCTION("""COMPUTED_VALUE"""),3)</f>
        <v>3</v>
      </c>
      <c r="BG5" s="18">
        <f ca="1">IFERROR(__xludf.DUMMYFUNCTION("""COMPUTED_VALUE"""),16)</f>
        <v>16</v>
      </c>
      <c r="BH5" s="18">
        <f ca="1">IFERROR(__xludf.DUMMYFUNCTION("""COMPUTED_VALUE"""),4)</f>
        <v>4</v>
      </c>
      <c r="BI5" s="18">
        <f ca="1">IFERROR(__xludf.DUMMYFUNCTION("""COMPUTED_VALUE"""),6)</f>
        <v>6</v>
      </c>
      <c r="BJ5" s="18">
        <f ca="1">IFERROR(__xludf.DUMMYFUNCTION("""COMPUTED_VALUE"""),2)</f>
        <v>2</v>
      </c>
      <c r="BK5" s="18">
        <f ca="1">IFERROR(__xludf.DUMMYFUNCTION("""COMPUTED_VALUE"""),4)</f>
        <v>4</v>
      </c>
      <c r="BL5" s="18">
        <f ca="1">IFERROR(__xludf.DUMMYFUNCTION("""COMPUTED_VALUE"""),10)</f>
        <v>10</v>
      </c>
      <c r="BM5" s="18">
        <f ca="1">IFERROR(__xludf.DUMMYFUNCTION("""COMPUTED_VALUE"""),12)</f>
        <v>12</v>
      </c>
      <c r="BN5" s="18">
        <f ca="1">IFERROR(__xludf.DUMMYFUNCTION("""COMPUTED_VALUE"""),3)</f>
        <v>3</v>
      </c>
      <c r="BO5" s="19">
        <f ca="1">IFERROR(__xludf.DUMMYFUNCTION("""COMPUTED_VALUE"""),11)</f>
        <v>11</v>
      </c>
      <c r="BP5" s="19">
        <f ca="1">IFERROR(__xludf.DUMMYFUNCTION("""COMPUTED_VALUE"""),18)</f>
        <v>18</v>
      </c>
      <c r="BQ5" s="19">
        <f ca="1">IFERROR(__xludf.DUMMYFUNCTION("""COMPUTED_VALUE"""),10)</f>
        <v>10</v>
      </c>
      <c r="BR5" s="19">
        <f ca="1">IFERROR(__xludf.DUMMYFUNCTION("""COMPUTED_VALUE"""),7)</f>
        <v>7</v>
      </c>
      <c r="BS5" s="19">
        <f ca="1">IFERROR(__xludf.DUMMYFUNCTION("""COMPUTED_VALUE"""),11)</f>
        <v>11</v>
      </c>
      <c r="BT5" s="19">
        <f ca="1">IFERROR(__xludf.DUMMYFUNCTION("""COMPUTED_VALUE"""),17)</f>
        <v>17</v>
      </c>
      <c r="BU5" s="20">
        <f ca="1">IFERROR(__xludf.DUMMYFUNCTION("""COMPUTED_VALUE"""),4)</f>
        <v>4</v>
      </c>
      <c r="BV5" s="20">
        <f ca="1">IFERROR(__xludf.DUMMYFUNCTION("""COMPUTED_VALUE"""),18)</f>
        <v>18</v>
      </c>
      <c r="BW5" s="20">
        <f ca="1">IFERROR(__xludf.DUMMYFUNCTION("""COMPUTED_VALUE"""),5)</f>
        <v>5</v>
      </c>
      <c r="BX5" s="20">
        <f ca="1">IFERROR(__xludf.DUMMYFUNCTION("""COMPUTED_VALUE"""),9)</f>
        <v>9</v>
      </c>
      <c r="BY5" s="20">
        <f ca="1">IFERROR(__xludf.DUMMYFUNCTION("""COMPUTED_VALUE"""),12)</f>
        <v>12</v>
      </c>
      <c r="BZ5" s="20">
        <f ca="1">IFERROR(__xludf.DUMMYFUNCTION("""COMPUTED_VALUE"""),17)</f>
        <v>17</v>
      </c>
      <c r="CA5" s="7">
        <f ca="1">IFERROR(__xludf.DUMMYFUNCTION("""COMPUTED_VALUE"""),10)</f>
        <v>10</v>
      </c>
      <c r="CB5" s="9"/>
      <c r="CC5" s="9"/>
      <c r="CD5" s="9"/>
      <c r="CE5" s="9"/>
      <c r="CF5" s="9"/>
      <c r="CG5" s="9"/>
      <c r="CH5" s="9"/>
      <c r="CI5" s="9"/>
      <c r="CJ5" s="9"/>
      <c r="CK5" s="9"/>
    </row>
    <row r="6" spans="1:89" ht="15.75" customHeight="1" x14ac:dyDescent="0.15">
      <c r="A6" s="22" t="str">
        <f ca="1">IFERROR(__xludf.DUMMYFUNCTION("""COMPUTED_VALUE"""),"No. per class")</f>
        <v>No. per class</v>
      </c>
      <c r="B6" s="2">
        <f ca="1">IFERROR(__xludf.DUMMYFUNCTION("""COMPUTED_VALUE"""),12)</f>
        <v>12</v>
      </c>
      <c r="C6" s="2">
        <f ca="1">IFERROR(__xludf.DUMMYFUNCTION("""COMPUTED_VALUE"""),6)</f>
        <v>6</v>
      </c>
      <c r="D6" s="2">
        <f ca="1">IFERROR(__xludf.DUMMYFUNCTION("""COMPUTED_VALUE"""),2)</f>
        <v>2</v>
      </c>
      <c r="E6" s="2">
        <f ca="1">IFERROR(__xludf.DUMMYFUNCTION("""COMPUTED_VALUE"""),8)</f>
        <v>8</v>
      </c>
      <c r="F6" s="2">
        <f ca="1">IFERROR(__xludf.DUMMYFUNCTION("""COMPUTED_VALUE"""),16)</f>
        <v>16</v>
      </c>
      <c r="G6" s="2">
        <f ca="1">IFERROR(__xludf.DUMMYFUNCTION("""COMPUTED_VALUE"""),6)</f>
        <v>6</v>
      </c>
      <c r="H6" s="2">
        <f ca="1">IFERROR(__xludf.DUMMYFUNCTION("""COMPUTED_VALUE"""),0)</f>
        <v>0</v>
      </c>
      <c r="I6" s="2">
        <f ca="1">IFERROR(__xludf.DUMMYFUNCTION("""COMPUTED_VALUE"""),10)</f>
        <v>10</v>
      </c>
      <c r="J6" s="2">
        <f ca="1">IFERROR(__xludf.DUMMYFUNCTION("""COMPUTED_VALUE"""),2)</f>
        <v>2</v>
      </c>
      <c r="K6" s="2">
        <f ca="1">IFERROR(__xludf.DUMMYFUNCTION("""COMPUTED_VALUE"""),14)</f>
        <v>14</v>
      </c>
      <c r="L6" s="2">
        <f ca="1">IFERROR(__xludf.DUMMYFUNCTION("""COMPUTED_VALUE"""),4)</f>
        <v>4</v>
      </c>
      <c r="M6" s="2">
        <f ca="1">IFERROR(__xludf.DUMMYFUNCTION("""COMPUTED_VALUE"""),4)</f>
        <v>4</v>
      </c>
      <c r="N6" s="5">
        <f ca="1">IFERROR(__xludf.DUMMYFUNCTION("""COMPUTED_VALUE"""),7)</f>
        <v>7</v>
      </c>
      <c r="O6" s="5">
        <f ca="1">IFERROR(__xludf.DUMMYFUNCTION("""COMPUTED_VALUE"""),12)</f>
        <v>12</v>
      </c>
      <c r="P6" s="5">
        <f ca="1">IFERROR(__xludf.DUMMYFUNCTION("""COMPUTED_VALUE"""),0)</f>
        <v>0</v>
      </c>
      <c r="Q6" s="5">
        <f ca="1">IFERROR(__xludf.DUMMYFUNCTION("""COMPUTED_VALUE"""),17)</f>
        <v>17</v>
      </c>
      <c r="R6" s="5">
        <f ca="1">IFERROR(__xludf.DUMMYFUNCTION("""COMPUTED_VALUE"""),0)</f>
        <v>0</v>
      </c>
      <c r="S6" s="5">
        <f ca="1">IFERROR(__xludf.DUMMYFUNCTION("""COMPUTED_VALUE"""),14)</f>
        <v>14</v>
      </c>
      <c r="T6" s="5">
        <f ca="1">IFERROR(__xludf.DUMMYFUNCTION("""COMPUTED_VALUE"""),1)</f>
        <v>1</v>
      </c>
      <c r="U6" s="5">
        <f ca="1">IFERROR(__xludf.DUMMYFUNCTION("""COMPUTED_VALUE"""),9)</f>
        <v>9</v>
      </c>
      <c r="V6" s="5">
        <f ca="1">IFERROR(__xludf.DUMMYFUNCTION("""COMPUTED_VALUE"""),2)</f>
        <v>2</v>
      </c>
      <c r="W6" s="5">
        <f ca="1">IFERROR(__xludf.DUMMYFUNCTION("""COMPUTED_VALUE"""),4)</f>
        <v>4</v>
      </c>
      <c r="X6" s="5">
        <f ca="1">IFERROR(__xludf.DUMMYFUNCTION("""COMPUTED_VALUE"""),10)</f>
        <v>10</v>
      </c>
      <c r="Y6" s="5">
        <f ca="1">IFERROR(__xludf.DUMMYFUNCTION("""COMPUTED_VALUE"""),2)</f>
        <v>2</v>
      </c>
      <c r="Z6" s="6">
        <f ca="1">IFERROR(__xludf.DUMMYFUNCTION("""COMPUTED_VALUE"""),14)</f>
        <v>14</v>
      </c>
      <c r="AA6" s="6">
        <f ca="1">IFERROR(__xludf.DUMMYFUNCTION("""COMPUTED_VALUE"""),2)</f>
        <v>2</v>
      </c>
      <c r="AB6" s="6">
        <f ca="1">IFERROR(__xludf.DUMMYFUNCTION("""COMPUTED_VALUE"""),2)</f>
        <v>2</v>
      </c>
      <c r="AC6" s="6">
        <f ca="1">IFERROR(__xludf.DUMMYFUNCTION("""COMPUTED_VALUE"""),3)</f>
        <v>3</v>
      </c>
      <c r="AD6" s="6">
        <f ca="1">IFERROR(__xludf.DUMMYFUNCTION("""COMPUTED_VALUE"""),11)</f>
        <v>11</v>
      </c>
      <c r="AE6" s="6">
        <f ca="1">IFERROR(__xludf.DUMMYFUNCTION("""COMPUTED_VALUE"""),0)</f>
        <v>0</v>
      </c>
      <c r="AF6" s="6">
        <f ca="1">IFERROR(__xludf.DUMMYFUNCTION("""COMPUTED_VALUE"""),15)</f>
        <v>15</v>
      </c>
      <c r="AG6" s="6">
        <f ca="1">IFERROR(__xludf.DUMMYFUNCTION("""COMPUTED_VALUE"""),0)</f>
        <v>0</v>
      </c>
      <c r="AH6" s="6">
        <f ca="1">IFERROR(__xludf.DUMMYFUNCTION("""COMPUTED_VALUE"""),5)</f>
        <v>5</v>
      </c>
      <c r="AI6" s="6">
        <f ca="1">IFERROR(__xludf.DUMMYFUNCTION("""COMPUTED_VALUE"""),13)</f>
        <v>13</v>
      </c>
      <c r="AJ6" s="6">
        <f ca="1">IFERROR(__xludf.DUMMYFUNCTION("""COMPUTED_VALUE"""),3)</f>
        <v>3</v>
      </c>
      <c r="AK6" s="6">
        <f ca="1">IFERROR(__xludf.DUMMYFUNCTION("""COMPUTED_VALUE"""),5)</f>
        <v>5</v>
      </c>
      <c r="AL6" s="6">
        <f ca="1">IFERROR(__xludf.DUMMYFUNCTION("""COMPUTED_VALUE"""),1)</f>
        <v>1</v>
      </c>
      <c r="AM6" s="6">
        <f ca="1">IFERROR(__xludf.DUMMYFUNCTION("""COMPUTED_VALUE"""),18)</f>
        <v>18</v>
      </c>
      <c r="AN6" s="7">
        <f ca="1">IFERROR(__xludf.DUMMYFUNCTION("""COMPUTED_VALUE"""),9)</f>
        <v>9</v>
      </c>
      <c r="AO6" s="7">
        <f ca="1">IFERROR(__xludf.DUMMYFUNCTION("""COMPUTED_VALUE"""),3)</f>
        <v>3</v>
      </c>
      <c r="AP6" s="7">
        <f ca="1">IFERROR(__xludf.DUMMYFUNCTION("""COMPUTED_VALUE"""),13)</f>
        <v>13</v>
      </c>
      <c r="AQ6" s="7">
        <f ca="1">IFERROR(__xludf.DUMMYFUNCTION("""COMPUTED_VALUE"""),1)</f>
        <v>1</v>
      </c>
      <c r="AR6" s="7">
        <f ca="1">IFERROR(__xludf.DUMMYFUNCTION("""COMPUTED_VALUE"""),5)</f>
        <v>5</v>
      </c>
      <c r="AS6" s="7">
        <f ca="1">IFERROR(__xludf.DUMMYFUNCTION("""COMPUTED_VALUE"""),9)</f>
        <v>9</v>
      </c>
      <c r="AT6" s="7">
        <f ca="1">IFERROR(__xludf.DUMMYFUNCTION("""COMPUTED_VALUE"""),5)</f>
        <v>5</v>
      </c>
      <c r="AU6" s="7">
        <f ca="1">IFERROR(__xludf.DUMMYFUNCTION("""COMPUTED_VALUE"""),8)</f>
        <v>8</v>
      </c>
      <c r="AV6" s="7">
        <f ca="1">IFERROR(__xludf.DUMMYFUNCTION("""COMPUTED_VALUE"""),1)</f>
        <v>1</v>
      </c>
      <c r="AW6" s="7">
        <f ca="1">IFERROR(__xludf.DUMMYFUNCTION("""COMPUTED_VALUE"""),14)</f>
        <v>14</v>
      </c>
      <c r="AX6" s="2">
        <f ca="1">IFERROR(__xludf.DUMMYFUNCTION("""COMPUTED_VALUE"""),9)</f>
        <v>9</v>
      </c>
      <c r="AY6" s="2">
        <f ca="1">IFERROR(__xludf.DUMMYFUNCTION("""COMPUTED_VALUE"""),15)</f>
        <v>15</v>
      </c>
      <c r="AZ6" s="2">
        <f ca="1">IFERROR(__xludf.DUMMYFUNCTION("""COMPUTED_VALUE"""),14)</f>
        <v>14</v>
      </c>
      <c r="BA6" s="2">
        <f ca="1">IFERROR(__xludf.DUMMYFUNCTION("""COMPUTED_VALUE"""),9)</f>
        <v>9</v>
      </c>
      <c r="BB6" s="2">
        <f ca="1">IFERROR(__xludf.DUMMYFUNCTION("""COMPUTED_VALUE"""),4)</f>
        <v>4</v>
      </c>
      <c r="BC6" s="2">
        <f ca="1">IFERROR(__xludf.DUMMYFUNCTION("""COMPUTED_VALUE"""),9)</f>
        <v>9</v>
      </c>
      <c r="BD6" s="2">
        <f ca="1">IFERROR(__xludf.DUMMYFUNCTION("""COMPUTED_VALUE"""),15)</f>
        <v>15</v>
      </c>
      <c r="BE6" s="2">
        <f ca="1">IFERROR(__xludf.DUMMYFUNCTION("""COMPUTED_VALUE"""),14)</f>
        <v>14</v>
      </c>
      <c r="BF6" s="5">
        <f ca="1">IFERROR(__xludf.DUMMYFUNCTION("""COMPUTED_VALUE"""),9)</f>
        <v>9</v>
      </c>
      <c r="BG6" s="5">
        <f ca="1">IFERROR(__xludf.DUMMYFUNCTION("""COMPUTED_VALUE"""),11)</f>
        <v>11</v>
      </c>
      <c r="BH6" s="5">
        <f ca="1">IFERROR(__xludf.DUMMYFUNCTION("""COMPUTED_VALUE"""),11)</f>
        <v>11</v>
      </c>
      <c r="BI6" s="5">
        <f ca="1">IFERROR(__xludf.DUMMYFUNCTION("""COMPUTED_VALUE"""),10)</f>
        <v>10</v>
      </c>
      <c r="BJ6" s="5">
        <f ca="1">IFERROR(__xludf.DUMMYFUNCTION("""COMPUTED_VALUE"""),10)</f>
        <v>10</v>
      </c>
      <c r="BK6" s="5">
        <f ca="1">IFERROR(__xludf.DUMMYFUNCTION("""COMPUTED_VALUE"""),11)</f>
        <v>11</v>
      </c>
      <c r="BL6" s="5">
        <f ca="1">IFERROR(__xludf.DUMMYFUNCTION("""COMPUTED_VALUE"""),9)</f>
        <v>9</v>
      </c>
      <c r="BM6" s="5">
        <f ca="1">IFERROR(__xludf.DUMMYFUNCTION("""COMPUTED_VALUE"""),16)</f>
        <v>16</v>
      </c>
      <c r="BN6" s="5">
        <f ca="1">IFERROR(__xludf.DUMMYFUNCTION("""COMPUTED_VALUE"""),13)</f>
        <v>13</v>
      </c>
      <c r="BO6" s="6">
        <f ca="1">IFERROR(__xludf.DUMMYFUNCTION("""COMPUTED_VALUE"""),6)</f>
        <v>6</v>
      </c>
      <c r="BP6" s="6">
        <f ca="1">IFERROR(__xludf.DUMMYFUNCTION("""COMPUTED_VALUE"""),16)</f>
        <v>16</v>
      </c>
      <c r="BQ6" s="6">
        <f ca="1">IFERROR(__xludf.DUMMYFUNCTION("""COMPUTED_VALUE"""),14)</f>
        <v>14</v>
      </c>
      <c r="BR6" s="6">
        <f ca="1">IFERROR(__xludf.DUMMYFUNCTION("""COMPUTED_VALUE"""),20)</f>
        <v>20</v>
      </c>
      <c r="BS6" s="6">
        <f ca="1">IFERROR(__xludf.DUMMYFUNCTION("""COMPUTED_VALUE"""),16)</f>
        <v>16</v>
      </c>
      <c r="BT6" s="6">
        <f ca="1">IFERROR(__xludf.DUMMYFUNCTION("""COMPUTED_VALUE"""),14)</f>
        <v>14</v>
      </c>
      <c r="BU6" s="7">
        <f ca="1">IFERROR(__xludf.DUMMYFUNCTION("""COMPUTED_VALUE"""),14)</f>
        <v>14</v>
      </c>
      <c r="BV6" s="7">
        <f ca="1">IFERROR(__xludf.DUMMYFUNCTION("""COMPUTED_VALUE"""),16)</f>
        <v>16</v>
      </c>
      <c r="BW6" s="7">
        <f ca="1">IFERROR(__xludf.DUMMYFUNCTION("""COMPUTED_VALUE"""),11)</f>
        <v>11</v>
      </c>
      <c r="BX6" s="7">
        <f ca="1">IFERROR(__xludf.DUMMYFUNCTION("""COMPUTED_VALUE"""),21)</f>
        <v>21</v>
      </c>
      <c r="BY6" s="7">
        <f ca="1">IFERROR(__xludf.DUMMYFUNCTION("""COMPUTED_VALUE"""),14)</f>
        <v>14</v>
      </c>
      <c r="BZ6" s="7">
        <f ca="1">IFERROR(__xludf.DUMMYFUNCTION("""COMPUTED_VALUE"""),14)</f>
        <v>14</v>
      </c>
      <c r="CA6" s="7">
        <f ca="1">IFERROR(__xludf.DUMMYFUNCTION("""COMPUTED_VALUE"""),9)</f>
        <v>9</v>
      </c>
      <c r="CB6" s="9"/>
      <c r="CC6" s="9"/>
      <c r="CD6" s="9"/>
      <c r="CE6" s="9"/>
      <c r="CF6" s="9"/>
      <c r="CG6" s="9"/>
      <c r="CH6" s="9"/>
      <c r="CI6" s="9"/>
      <c r="CJ6" s="9"/>
      <c r="CK6" s="9"/>
    </row>
    <row r="7" spans="1:89" ht="15.75" customHeight="1" x14ac:dyDescent="0.15">
      <c r="A7" s="23" t="str">
        <f ca="1">IFERROR(__xludf.DUMMYFUNCTION("""COMPUTED_VALUE"""),"Total n° of students")</f>
        <v>Total n° of students</v>
      </c>
      <c r="B7" s="2">
        <f ca="1">IFERROR(__xludf.DUMMYFUNCTION("""COMPUTED_VALUE"""),12)</f>
        <v>12</v>
      </c>
      <c r="C7" s="42">
        <f ca="1">IFERROR(__xludf.DUMMYFUNCTION("""COMPUTED_VALUE"""),8)</f>
        <v>8</v>
      </c>
      <c r="D7" s="40"/>
      <c r="E7" s="3">
        <f ca="1">IFERROR(__xludf.DUMMYFUNCTION("""COMPUTED_VALUE"""),8)</f>
        <v>8</v>
      </c>
      <c r="F7" s="3">
        <f ca="1">IFERROR(__xludf.DUMMYFUNCTION("""COMPUTED_VALUE"""),16)</f>
        <v>16</v>
      </c>
      <c r="G7" s="42">
        <f ca="1">IFERROR(__xludf.DUMMYFUNCTION("""COMPUTED_VALUE"""),6)</f>
        <v>6</v>
      </c>
      <c r="H7" s="40"/>
      <c r="I7" s="42">
        <f ca="1">IFERROR(__xludf.DUMMYFUNCTION("""COMPUTED_VALUE"""),10)</f>
        <v>10</v>
      </c>
      <c r="J7" s="40"/>
      <c r="K7" s="24">
        <f ca="1">IFERROR(__xludf.DUMMYFUNCTION("""COMPUTED_VALUE"""),14)</f>
        <v>14</v>
      </c>
      <c r="L7" s="42">
        <f ca="1">IFERROR(__xludf.DUMMYFUNCTION("""COMPUTED_VALUE"""),8)</f>
        <v>8</v>
      </c>
      <c r="M7" s="40"/>
      <c r="N7" s="5">
        <f ca="1">IFERROR(__xludf.DUMMYFUNCTION("""COMPUTED_VALUE"""),7)</f>
        <v>7</v>
      </c>
      <c r="O7" s="45">
        <f ca="1">IFERROR(__xludf.DUMMYFUNCTION("""COMPUTED_VALUE"""),12)</f>
        <v>12</v>
      </c>
      <c r="P7" s="40"/>
      <c r="Q7" s="45">
        <f ca="1">IFERROR(__xludf.DUMMYFUNCTION("""COMPUTED_VALUE"""),17)</f>
        <v>17</v>
      </c>
      <c r="R7" s="40"/>
      <c r="S7" s="45">
        <f ca="1">IFERROR(__xludf.DUMMYFUNCTION("""COMPUTED_VALUE"""),15)</f>
        <v>15</v>
      </c>
      <c r="T7" s="40"/>
      <c r="U7" s="45">
        <f ca="1">IFERROR(__xludf.DUMMYFUNCTION("""COMPUTED_VALUE"""),11)</f>
        <v>11</v>
      </c>
      <c r="V7" s="40"/>
      <c r="W7" s="5">
        <f ca="1">IFERROR(__xludf.DUMMYFUNCTION("""COMPUTED_VALUE"""),4)</f>
        <v>4</v>
      </c>
      <c r="X7" s="45">
        <f ca="1">IFERROR(__xludf.DUMMYFUNCTION("""COMPUTED_VALUE"""),12)</f>
        <v>12</v>
      </c>
      <c r="Y7" s="40"/>
      <c r="Z7" s="46">
        <f ca="1">IFERROR(__xludf.DUMMYFUNCTION("""COMPUTED_VALUE"""),16)</f>
        <v>16</v>
      </c>
      <c r="AA7" s="40"/>
      <c r="AB7" s="46">
        <f ca="1">IFERROR(__xludf.DUMMYFUNCTION("""COMPUTED_VALUE"""),5)</f>
        <v>5</v>
      </c>
      <c r="AC7" s="40"/>
      <c r="AD7" s="46">
        <f ca="1">IFERROR(__xludf.DUMMYFUNCTION("""COMPUTED_VALUE"""),11)</f>
        <v>11</v>
      </c>
      <c r="AE7" s="40"/>
      <c r="AF7" s="46">
        <f ca="1">IFERROR(__xludf.DUMMYFUNCTION("""COMPUTED_VALUE"""),15)</f>
        <v>15</v>
      </c>
      <c r="AG7" s="40"/>
      <c r="AH7" s="6">
        <f ca="1">IFERROR(__xludf.DUMMYFUNCTION("""COMPUTED_VALUE"""),5)</f>
        <v>5</v>
      </c>
      <c r="AI7" s="46">
        <f ca="1">IFERROR(__xludf.DUMMYFUNCTION("""COMPUTED_VALUE"""),16)</f>
        <v>16</v>
      </c>
      <c r="AJ7" s="40"/>
      <c r="AK7" s="46">
        <f ca="1">IFERROR(__xludf.DUMMYFUNCTION("""COMPUTED_VALUE"""),6)</f>
        <v>6</v>
      </c>
      <c r="AL7" s="40"/>
      <c r="AM7" s="6">
        <f ca="1">IFERROR(__xludf.DUMMYFUNCTION("""COMPUTED_VALUE"""),18)</f>
        <v>18</v>
      </c>
      <c r="AN7" s="47">
        <f ca="1">IFERROR(__xludf.DUMMYFUNCTION("""COMPUTED_VALUE"""),12)</f>
        <v>12</v>
      </c>
      <c r="AO7" s="40"/>
      <c r="AP7" s="47">
        <f ca="1">IFERROR(__xludf.DUMMYFUNCTION("""COMPUTED_VALUE"""),14)</f>
        <v>14</v>
      </c>
      <c r="AQ7" s="40"/>
      <c r="AR7" s="7">
        <f ca="1">IFERROR(__xludf.DUMMYFUNCTION("""COMPUTED_VALUE"""),5)</f>
        <v>5</v>
      </c>
      <c r="AS7" s="47">
        <f ca="1">IFERROR(__xludf.DUMMYFUNCTION("""COMPUTED_VALUE"""),14)</f>
        <v>14</v>
      </c>
      <c r="AT7" s="40"/>
      <c r="AU7" s="47">
        <f ca="1">IFERROR(__xludf.DUMMYFUNCTION("""COMPUTED_VALUE"""),9)</f>
        <v>9</v>
      </c>
      <c r="AV7" s="40"/>
      <c r="AW7" s="7">
        <f ca="1">IFERROR(__xludf.DUMMYFUNCTION("""COMPUTED_VALUE"""),14)</f>
        <v>14</v>
      </c>
      <c r="AX7" s="2">
        <f ca="1">IFERROR(__xludf.DUMMYFUNCTION("""COMPUTED_VALUE"""),9)</f>
        <v>9</v>
      </c>
      <c r="AY7" s="2">
        <f ca="1">IFERROR(__xludf.DUMMYFUNCTION("""COMPUTED_VALUE"""),15)</f>
        <v>15</v>
      </c>
      <c r="AZ7" s="2">
        <f ca="1">IFERROR(__xludf.DUMMYFUNCTION("""COMPUTED_VALUE"""),14)</f>
        <v>14</v>
      </c>
      <c r="BA7" s="2">
        <f ca="1">IFERROR(__xludf.DUMMYFUNCTION("""COMPUTED_VALUE"""),9)</f>
        <v>9</v>
      </c>
      <c r="BB7" s="2">
        <f ca="1">IFERROR(__xludf.DUMMYFUNCTION("""COMPUTED_VALUE"""),4)</f>
        <v>4</v>
      </c>
      <c r="BC7" s="2">
        <f ca="1">IFERROR(__xludf.DUMMYFUNCTION("""COMPUTED_VALUE"""),9)</f>
        <v>9</v>
      </c>
      <c r="BD7" s="2">
        <f ca="1">IFERROR(__xludf.DUMMYFUNCTION("""COMPUTED_VALUE"""),15)</f>
        <v>15</v>
      </c>
      <c r="BE7" s="2">
        <f ca="1">IFERROR(__xludf.DUMMYFUNCTION("""COMPUTED_VALUE"""),14)</f>
        <v>14</v>
      </c>
      <c r="BF7" s="5">
        <f ca="1">IFERROR(__xludf.DUMMYFUNCTION("""COMPUTED_VALUE"""),9)</f>
        <v>9</v>
      </c>
      <c r="BG7" s="5">
        <f ca="1">IFERROR(__xludf.DUMMYFUNCTION("""COMPUTED_VALUE"""),11)</f>
        <v>11</v>
      </c>
      <c r="BH7" s="5">
        <f ca="1">IFERROR(__xludf.DUMMYFUNCTION("""COMPUTED_VALUE"""),11)</f>
        <v>11</v>
      </c>
      <c r="BI7" s="5">
        <f ca="1">IFERROR(__xludf.DUMMYFUNCTION("""COMPUTED_VALUE"""),10)</f>
        <v>10</v>
      </c>
      <c r="BJ7" s="5">
        <f ca="1">IFERROR(__xludf.DUMMYFUNCTION("""COMPUTED_VALUE"""),10)</f>
        <v>10</v>
      </c>
      <c r="BK7" s="5">
        <f ca="1">IFERROR(__xludf.DUMMYFUNCTION("""COMPUTED_VALUE"""),11)</f>
        <v>11</v>
      </c>
      <c r="BL7" s="5">
        <f ca="1">IFERROR(__xludf.DUMMYFUNCTION("""COMPUTED_VALUE"""),9)</f>
        <v>9</v>
      </c>
      <c r="BM7" s="5">
        <f ca="1">IFERROR(__xludf.DUMMYFUNCTION("""COMPUTED_VALUE"""),16)</f>
        <v>16</v>
      </c>
      <c r="BN7" s="5">
        <f ca="1">IFERROR(__xludf.DUMMYFUNCTION("""COMPUTED_VALUE"""),13)</f>
        <v>13</v>
      </c>
      <c r="BO7" s="6">
        <f ca="1">IFERROR(__xludf.DUMMYFUNCTION("""COMPUTED_VALUE"""),6)</f>
        <v>6</v>
      </c>
      <c r="BP7" s="6">
        <f ca="1">IFERROR(__xludf.DUMMYFUNCTION("""COMPUTED_VALUE"""),16)</f>
        <v>16</v>
      </c>
      <c r="BQ7" s="6">
        <f ca="1">IFERROR(__xludf.DUMMYFUNCTION("""COMPUTED_VALUE"""),14)</f>
        <v>14</v>
      </c>
      <c r="BR7" s="6">
        <f ca="1">IFERROR(__xludf.DUMMYFUNCTION("""COMPUTED_VALUE"""),20)</f>
        <v>20</v>
      </c>
      <c r="BS7" s="6">
        <f ca="1">IFERROR(__xludf.DUMMYFUNCTION("""COMPUTED_VALUE"""),16)</f>
        <v>16</v>
      </c>
      <c r="BT7" s="6">
        <f ca="1">IFERROR(__xludf.DUMMYFUNCTION("""COMPUTED_VALUE"""),14)</f>
        <v>14</v>
      </c>
      <c r="BU7" s="7">
        <f ca="1">IFERROR(__xludf.DUMMYFUNCTION("""COMPUTED_VALUE"""),14)</f>
        <v>14</v>
      </c>
      <c r="BV7" s="7">
        <f ca="1">IFERROR(__xludf.DUMMYFUNCTION("""COMPUTED_VALUE"""),16)</f>
        <v>16</v>
      </c>
      <c r="BW7" s="7">
        <f ca="1">IFERROR(__xludf.DUMMYFUNCTION("""COMPUTED_VALUE"""),11)</f>
        <v>11</v>
      </c>
      <c r="BX7" s="25">
        <f ca="1">IFERROR(__xludf.DUMMYFUNCTION("""COMPUTED_VALUE"""),21)</f>
        <v>21</v>
      </c>
      <c r="BY7" s="7">
        <f ca="1">IFERROR(__xludf.DUMMYFUNCTION("""COMPUTED_VALUE"""),14)</f>
        <v>14</v>
      </c>
      <c r="BZ7" s="7">
        <f ca="1">IFERROR(__xludf.DUMMYFUNCTION("""COMPUTED_VALUE"""),14)</f>
        <v>14</v>
      </c>
      <c r="CA7" s="7">
        <f ca="1">IFERROR(__xludf.DUMMYFUNCTION("""COMPUTED_VALUE"""),9)</f>
        <v>9</v>
      </c>
      <c r="CB7" s="9"/>
      <c r="CC7" s="9"/>
      <c r="CD7" s="9"/>
      <c r="CE7" s="9"/>
      <c r="CF7" s="9"/>
      <c r="CG7" s="9"/>
      <c r="CH7" s="9"/>
      <c r="CI7" s="9"/>
      <c r="CJ7" s="9"/>
      <c r="CK7" s="9"/>
    </row>
    <row r="8" spans="1:89" x14ac:dyDescent="0.2">
      <c r="A8" s="26">
        <f ca="1">IFERROR(__xludf.DUMMYFUNCTION("""COMPUTED_VALUE"""),1)</f>
        <v>1</v>
      </c>
      <c r="B8" s="27" t="str">
        <f ca="1">IFERROR(__xludf.DUMMYFUNCTION("""COMPUTED_VALUE"""),"Chelsie Natalia	Charria Flores")</f>
        <v>Chelsie Natalia	Charria Flores</v>
      </c>
      <c r="C8" s="27" t="str">
        <f ca="1">IFERROR(__xludf.DUMMYFUNCTION("""COMPUTED_VALUE"""),"Anouk Juulke	Stahl")</f>
        <v>Anouk Juulke	Stahl</v>
      </c>
      <c r="D8" s="27" t="str">
        <f ca="1">IFERROR(__xludf.DUMMYFUNCTION("""COMPUTED_VALUE"""),"Eileen Laurie	Hagan")</f>
        <v>Eileen Laurie	Hagan</v>
      </c>
      <c r="E8" s="27" t="str">
        <f ca="1">IFERROR(__xludf.DUMMYFUNCTION("""COMPUTED_VALUE"""),"Alexander Kuntz Kristiansen")</f>
        <v>Alexander Kuntz Kristiansen</v>
      </c>
      <c r="F8" s="27" t="str">
        <f ca="1">IFERROR(__xludf.DUMMYFUNCTION("""COMPUTED_VALUE"""),"Anna Eleanor	Nalezny")</f>
        <v>Anna Eleanor	Nalezny</v>
      </c>
      <c r="G8" s="27" t="str">
        <f ca="1">IFERROR(__xludf.DUMMYFUNCTION("""COMPUTED_VALUE"""),"Anahi Sachin	Dhanani")</f>
        <v>Anahi Sachin	Dhanani</v>
      </c>
      <c r="H8" s="27"/>
      <c r="I8" s="27" t="str">
        <f ca="1">IFERROR(__xludf.DUMMYFUNCTION("""COMPUTED_VALUE"""),"Adrian	Muwonge")</f>
        <v>Adrian	Muwonge</v>
      </c>
      <c r="J8" s="27" t="str">
        <f ca="1">IFERROR(__xludf.DUMMYFUNCTION("""COMPUTED_VALUE"""),"Maxime Gabin	Dinard-Maucoeur")</f>
        <v>Maxime Gabin	Dinard-Maucoeur</v>
      </c>
      <c r="K8" s="27" t="str">
        <f ca="1">IFERROR(__xludf.DUMMYFUNCTION("""COMPUTED_VALUE"""),"Alejandra Bremont Straková")</f>
        <v>Alejandra Bremont Straková</v>
      </c>
      <c r="L8" s="27" t="str">
        <f ca="1">IFERROR(__xludf.DUMMYFUNCTION("""COMPUTED_VALUE"""),"Emilie Lisa	Francese")</f>
        <v>Emilie Lisa	Francese</v>
      </c>
      <c r="M8" s="27" t="str">
        <f ca="1">IFERROR(__xludf.DUMMYFUNCTION("""COMPUTED_VALUE"""),"Adrianna Auma Vuhya Mbagaya")</f>
        <v>Adrianna Auma Vuhya Mbagaya</v>
      </c>
      <c r="N8" s="28" t="str">
        <f ca="1">IFERROR(__xludf.DUMMYFUNCTION("""COMPUTED_VALUE"""),"Anna Eleanor Nalezny")</f>
        <v>Anna Eleanor Nalezny</v>
      </c>
      <c r="O8" s="28" t="str">
        <f ca="1">IFERROR(__xludf.DUMMYFUNCTION("""COMPUTED_VALUE"""),"Amanda Yutian Song Li")</f>
        <v>Amanda Yutian Song Li</v>
      </c>
      <c r="P8" s="28"/>
      <c r="Q8" s="28" t="str">
        <f ca="1">IFERROR(__xludf.DUMMYFUNCTION("""COMPUTED_VALUE"""),"Adrianna Auma Vuhya")</f>
        <v>Adrianna Auma Vuhya</v>
      </c>
      <c r="R8" s="28"/>
      <c r="S8" s="28" t="str">
        <f ca="1">IFERROR(__xludf.DUMMYFUNCTION("""COMPUTED_VALUE"""),"Bastiaan Marc Scheurwater")</f>
        <v>Bastiaan Marc Scheurwater</v>
      </c>
      <c r="T8" s="28" t="str">
        <f ca="1">IFERROR(__xludf.DUMMYFUNCTION("""COMPUTED_VALUE"""),"Halia Farran Souweine")</f>
        <v>Halia Farran Souweine</v>
      </c>
      <c r="U8" s="28" t="str">
        <f ca="1">IFERROR(__xludf.DUMMYFUNCTION("""COMPUTED_VALUE"""),"Eldar Musayev")</f>
        <v>Eldar Musayev</v>
      </c>
      <c r="V8" s="28" t="str">
        <f ca="1">IFERROR(__xludf.DUMMYFUNCTION("""COMPUTED_VALUE"""),"Alejandra Bremont Straková")</f>
        <v>Alejandra Bremont Straková</v>
      </c>
      <c r="W8" s="28" t="str">
        <f ca="1">IFERROR(__xludf.DUMMYFUNCTION("""COMPUTED_VALUE"""),"Anahi Sachin Dhanani")</f>
        <v>Anahi Sachin Dhanani</v>
      </c>
      <c r="X8" s="28" t="str">
        <f ca="1">IFERROR(__xludf.DUMMYFUNCTION("""COMPUTED_VALUE"""),"Daniela De Los Angeles Barquero Montoya")</f>
        <v>Daniela De Los Angeles Barquero Montoya</v>
      </c>
      <c r="Y8" s="28" t="str">
        <f ca="1">IFERROR(__xludf.DUMMYFUNCTION("""COMPUTED_VALUE"""),"Eva Movchan")</f>
        <v>Eva Movchan</v>
      </c>
      <c r="Z8" s="29" t="str">
        <f ca="1">IFERROR(__xludf.DUMMYFUNCTION("""COMPUTED_VALUE"""),"Adrianna Auma Vuhya Mbagaya")</f>
        <v>Adrianna Auma Vuhya Mbagaya</v>
      </c>
      <c r="AA8" s="29" t="str">
        <f ca="1">IFERROR(__xludf.DUMMYFUNCTION("""COMPUTED_VALUE"""),"Chelsie Natalia	Charria Flores")</f>
        <v>Chelsie Natalia	Charria Flores</v>
      </c>
      <c r="AB8" s="29" t="str">
        <f ca="1">IFERROR(__xludf.DUMMYFUNCTION("""COMPUTED_VALUE"""),"Fiorella Jazmin	Melgarejo Esquivel")</f>
        <v>Fiorella Jazmin	Melgarejo Esquivel</v>
      </c>
      <c r="AC8" s="29" t="str">
        <f ca="1">IFERROR(__xludf.DUMMYFUNCTION("""COMPUTED_VALUE"""),"Anna Eleanor	Nalezny")</f>
        <v>Anna Eleanor	Nalezny</v>
      </c>
      <c r="AD8" s="29" t="str">
        <f ca="1">IFERROR(__xludf.DUMMYFUNCTION("""COMPUTED_VALUE"""),"Derick Adolfo	Rivas Delgado")</f>
        <v>Derick Adolfo	Rivas Delgado</v>
      </c>
      <c r="AE8" s="29"/>
      <c r="AF8" s="29" t="str">
        <f ca="1">IFERROR(__xludf.DUMMYFUNCTION("""COMPUTED_VALUE"""),"Amanda Yutian Song Li")</f>
        <v>Amanda Yutian Song Li</v>
      </c>
      <c r="AG8" s="29"/>
      <c r="AH8" s="29" t="str">
        <f ca="1">IFERROR(__xludf.DUMMYFUNCTION("""COMPUTED_VALUE"""),"Eva	Movchan")</f>
        <v>Eva	Movchan</v>
      </c>
      <c r="AI8" s="29" t="str">
        <f ca="1">IFERROR(__xludf.DUMMYFUNCTION("""COMPUTED_VALUE"""),"Benjamín Tomás	Esteban Oppenheímer")</f>
        <v>Benjamín Tomás	Esteban Oppenheímer</v>
      </c>
      <c r="AJ8" s="29" t="str">
        <f ca="1">IFERROR(__xludf.DUMMYFUNCTION("""COMPUTED_VALUE"""),"Charles Michael	Kaikai")</f>
        <v>Charles Michael	Kaikai</v>
      </c>
      <c r="AK8" s="29" t="str">
        <f ca="1">IFERROR(__xludf.DUMMYFUNCTION("""COMPUTED_VALUE"""),"Cora Naomi	De Silva")</f>
        <v>Cora Naomi	De Silva</v>
      </c>
      <c r="AL8" s="29" t="str">
        <f ca="1">IFERROR(__xludf.DUMMYFUNCTION("""COMPUTED_VALUE"""),"Javier	Fuentes Hermoso")</f>
        <v>Javier	Fuentes Hermoso</v>
      </c>
      <c r="AM8" s="29" t="str">
        <f ca="1">IFERROR(__xludf.DUMMYFUNCTION("""COMPUTED_VALUE"""),"Alejandra Bremont Straková")</f>
        <v>Alejandra Bremont Straková</v>
      </c>
      <c r="AN8" s="30" t="str">
        <f ca="1">IFERROR(__xludf.DUMMYFUNCTION("""COMPUTED_VALUE"""),"Daniela De los Ángeles Barquero Montoya")</f>
        <v>Daniela De los Ángeles Barquero Montoya</v>
      </c>
      <c r="AO8" s="30" t="str">
        <f ca="1">IFERROR(__xludf.DUMMYFUNCTION("""COMPUTED_VALUE"""),"Luis Fernando Rueda Matute")</f>
        <v>Luis Fernando Rueda Matute</v>
      </c>
      <c r="AP8" s="30" t="str">
        <f ca="1">IFERROR(__xludf.DUMMYFUNCTION("""COMPUTED_VALUE"""),"Daniel Marcelo Vargas Mata")</f>
        <v>Daniel Marcelo Vargas Mata</v>
      </c>
      <c r="AQ8" s="30" t="str">
        <f ca="1">IFERROR(__xludf.DUMMYFUNCTION("""COMPUTED_VALUE"""),"Hanifah Zahidah")</f>
        <v>Hanifah Zahidah</v>
      </c>
      <c r="AR8" s="30" t="str">
        <f ca="1">IFERROR(__xludf.DUMMYFUNCTION("""COMPUTED_VALUE"""),"Anna Eleanor Nalezny")</f>
        <v>Anna Eleanor Nalezny</v>
      </c>
      <c r="AS8" s="30" t="str">
        <f ca="1">IFERROR(__xludf.DUMMYFUNCTION("""COMPUTED_VALUE"""),"Anouk Juulke Stahl")</f>
        <v>Anouk Juulke Stahl</v>
      </c>
      <c r="AT8" s="30" t="str">
        <f ca="1">IFERROR(__xludf.DUMMYFUNCTION("""COMPUTED_VALUE"""),"Anahi Sachin Dhanani")</f>
        <v>Anahi Sachin Dhanani</v>
      </c>
      <c r="AU8" s="30" t="str">
        <f ca="1">IFERROR(__xludf.DUMMYFUNCTION("""COMPUTED_VALUE"""),"Alejandra Bremont Straková")</f>
        <v>Alejandra Bremont Straková</v>
      </c>
      <c r="AV8" s="30" t="str">
        <f ca="1">IFERROR(__xludf.DUMMYFUNCTION("""COMPUTED_VALUE"""),"Eldar Musayev")</f>
        <v>Eldar Musayev</v>
      </c>
      <c r="AW8" s="30" t="str">
        <f ca="1">IFERROR(__xludf.DUMMYFUNCTION("""COMPUTED_VALUE"""),"Adrianna Auma Vuhya Mbagaya")</f>
        <v>Adrianna Auma Vuhya Mbagaya</v>
      </c>
      <c r="AX8" s="27" t="str">
        <f ca="1">IFERROR(__xludf.DUMMYFUNCTION("""COMPUTED_VALUE"""),"Chun-Ying        Lai")</f>
        <v>Chun-Ying        Lai</v>
      </c>
      <c r="AY8" s="27" t="str">
        <f ca="1">IFERROR(__xludf.DUMMYFUNCTION("""COMPUTED_VALUE"""),"Alejandra	Bremont Straková")</f>
        <v>Alejandra	Bremont Straková</v>
      </c>
      <c r="AZ8" s="27" t="str">
        <f ca="1">IFERROR(__xludf.DUMMYFUNCTION("""COMPUTED_VALUE"""),"Bastiaan Marc	Scheurwater")</f>
        <v>Bastiaan Marc	Scheurwater</v>
      </c>
      <c r="BA8" s="27" t="str">
        <f ca="1">IFERROR(__xludf.DUMMYFUNCTION("""COMPUTED_VALUE"""),"Anna Eleanor	Nalezny")</f>
        <v>Anna Eleanor	Nalezny</v>
      </c>
      <c r="BB8" s="27" t="str">
        <f ca="1">IFERROR(__xludf.DUMMYFUNCTION("""COMPUTED_VALUE"""),"Alexander Kuntz 	Kristiansen")</f>
        <v>Alexander Kuntz 	Kristiansen</v>
      </c>
      <c r="BC8" s="27" t="str">
        <f ca="1">IFERROR(__xludf.DUMMYFUNCTION("""COMPUTED_VALUE"""),"Chimiemena Shekinah	Njoku")</f>
        <v>Chimiemena Shekinah	Njoku</v>
      </c>
      <c r="BD8" s="27" t="str">
        <f ca="1">IFERROR(__xludf.DUMMYFUNCTION("""COMPUTED_VALUE"""),"Anouk Juulke	Stahl")</f>
        <v>Anouk Juulke	Stahl</v>
      </c>
      <c r="BE8" s="27" t="str">
        <f ca="1">IFERROR(__xludf.DUMMYFUNCTION("""COMPUTED_VALUE"""),"Carl Gustav	Mandl")</f>
        <v>Carl Gustav	Mandl</v>
      </c>
      <c r="BF8" s="28" t="str">
        <f ca="1">IFERROR(__xludf.DUMMYFUNCTION("""COMPUTED_VALUE"""),"Anahi Sachin	Dhanani")</f>
        <v>Anahi Sachin	Dhanani</v>
      </c>
      <c r="BG8" s="28" t="str">
        <f ca="1">IFERROR(__xludf.DUMMYFUNCTION("""COMPUTED_VALUE"""),"En-Ting Chen")</f>
        <v>En-Ting Chen</v>
      </c>
      <c r="BH8" s="28" t="str">
        <f ca="1">IFERROR(__xludf.DUMMYFUNCTION("""COMPUTED_VALUE"""),"Alexander Kuntz  Kristiansen")</f>
        <v>Alexander Kuntz  Kristiansen</v>
      </c>
      <c r="BI8" s="28" t="str">
        <f ca="1">IFERROR(__xludf.DUMMYFUNCTION("""COMPUTED_VALUE"""),"Anouk Juulke Stahl")</f>
        <v>Anouk Juulke Stahl</v>
      </c>
      <c r="BJ8" s="28" t="str">
        <f ca="1">IFERROR(__xludf.DUMMYFUNCTION("""COMPUTED_VALUE"""),"Maša Pašić")</f>
        <v>Maša Pašić</v>
      </c>
      <c r="BK8" s="28" t="str">
        <f ca="1">IFERROR(__xludf.DUMMYFUNCTION("""COMPUTED_VALUE"""),"Marek Daniel Barančík")</f>
        <v>Marek Daniel Barančík</v>
      </c>
      <c r="BL8" s="28" t="str">
        <f ca="1">IFERROR(__xludf.DUMMYFUNCTION("""COMPUTED_VALUE"""),"Adrianna Auma Vuhya Mbagaya")</f>
        <v>Adrianna Auma Vuhya Mbagaya</v>
      </c>
      <c r="BM8" s="28" t="str">
        <f ca="1">IFERROR(__xludf.DUMMYFUNCTION("""COMPUTED_VALUE"""),"Chelsie Natalia Charria Flores")</f>
        <v>Chelsie Natalia Charria Flores</v>
      </c>
      <c r="BN8" s="28" t="str">
        <f ca="1">IFERROR(__xludf.DUMMYFUNCTION("""COMPUTED_VALUE"""),"Charles Michael	Kaikai")</f>
        <v>Charles Michael	Kaikai</v>
      </c>
      <c r="BO8" s="29" t="str">
        <f ca="1">IFERROR(__xludf.DUMMYFUNCTION("""COMPUTED_VALUE"""),"Javier Fuentes Hermoso")</f>
        <v>Javier Fuentes Hermoso</v>
      </c>
      <c r="BP8" s="29" t="str">
        <f ca="1">IFERROR(__xludf.DUMMYFUNCTION("""COMPUTED_VALUE"""),"Adrianna Auma Vuhya	Mbagaya")</f>
        <v>Adrianna Auma Vuhya	Mbagaya</v>
      </c>
      <c r="BQ8" s="29" t="str">
        <f ca="1">IFERROR(__xludf.DUMMYFUNCTION("""COMPUTED_VALUE"""),"Carl Gustav	Mandl")</f>
        <v>Carl Gustav	Mandl</v>
      </c>
      <c r="BR8" s="29" t="str">
        <f ca="1">IFERROR(__xludf.DUMMYFUNCTION("""COMPUTED_VALUE"""),"Alejandra	Bremont Straková")</f>
        <v>Alejandra	Bremont Straková</v>
      </c>
      <c r="BS8" s="29" t="str">
        <f ca="1">IFERROR(__xludf.DUMMYFUNCTION("""COMPUTED_VALUE"""),"Chelsie Natalia	Charria Flores")</f>
        <v>Chelsie Natalia	Charria Flores</v>
      </c>
      <c r="BT8" s="29" t="str">
        <f ca="1">IFERROR(__xludf.DUMMYFUNCTION("""COMPUTED_VALUE"""),"Luis	Lozano SamperLuis	")</f>
        <v xml:space="preserve">Luis	Lozano SamperLuis	</v>
      </c>
      <c r="BU8" s="30" t="str">
        <f ca="1">IFERROR(__xludf.DUMMYFUNCTION("""COMPUTED_VALUE"""),"Chun-Ying	Lai")</f>
        <v>Chun-Ying	Lai</v>
      </c>
      <c r="BV8" s="30" t="str">
        <f ca="1">IFERROR(__xludf.DUMMYFUNCTION("""COMPUTED_VALUE"""),"Bastiaan Marc	Scheurwater")</f>
        <v>Bastiaan Marc	Scheurwater</v>
      </c>
      <c r="BW8" s="30" t="str">
        <f ca="1">IFERROR(__xludf.DUMMYFUNCTION("""COMPUTED_VALUE"""),"Chun-Ying	Lai")</f>
        <v>Chun-Ying	Lai</v>
      </c>
      <c r="BX8" s="30" t="str">
        <f ca="1">IFERROR(__xludf.DUMMYFUNCTION("""COMPUTED_VALUE"""),"Benjamín Tomás	Esteban Oppenheímer")</f>
        <v>Benjamín Tomás	Esteban Oppenheímer</v>
      </c>
      <c r="BY8" s="30" t="str">
        <f ca="1">IFERROR(__xludf.DUMMYFUNCTION("""COMPUTED_VALUE"""),"Maxime Gabin        Dinard-Maucoeur")</f>
        <v>Maxime Gabin        Dinard-Maucoeur</v>
      </c>
      <c r="BZ8" s="30" t="str">
        <f ca="1">IFERROR(__xludf.DUMMYFUNCTION("""COMPUTED_VALUE"""),"Chimme Pema	Selden")</f>
        <v>Chimme Pema	Selden</v>
      </c>
      <c r="CA8" s="30" t="str">
        <f ca="1">IFERROR(__xludf.DUMMYFUNCTION("""COMPUTED_VALUE"""),"Elliot	Friedrich")</f>
        <v>Elliot	Friedrich</v>
      </c>
      <c r="CB8" s="31"/>
      <c r="CC8" s="31"/>
      <c r="CD8" s="31"/>
      <c r="CE8" s="31"/>
      <c r="CF8" s="31"/>
      <c r="CG8" s="31"/>
      <c r="CH8" s="31"/>
      <c r="CI8" s="31"/>
      <c r="CJ8" s="31"/>
      <c r="CK8" s="31"/>
    </row>
    <row r="9" spans="1:89" x14ac:dyDescent="0.2">
      <c r="A9" s="32">
        <f ca="1">IFERROR(__xludf.DUMMYFUNCTION("""COMPUTED_VALUE"""),2)</f>
        <v>2</v>
      </c>
      <c r="B9" s="27" t="str">
        <f ca="1">IFERROR(__xludf.DUMMYFUNCTION("""COMPUTED_VALUE"""),"Daniela De Los Angeles	Barquero Montoya")</f>
        <v>Daniela De Los Angeles	Barquero Montoya</v>
      </c>
      <c r="C9" s="27" t="str">
        <f ca="1">IFERROR(__xludf.DUMMYFUNCTION("""COMPUTED_VALUE"""),"Carl Gustav	Mandl")</f>
        <v>Carl Gustav	Mandl</v>
      </c>
      <c r="D9" s="27" t="str">
        <f ca="1">IFERROR(__xludf.DUMMYFUNCTION("""COMPUTED_VALUE"""),"Eoin Chandra	O Donaill Zanoni")</f>
        <v>Eoin Chandra	O Donaill Zanoni</v>
      </c>
      <c r="E9" s="27" t="str">
        <f ca="1">IFERROR(__xludf.DUMMYFUNCTION("""COMPUTED_VALUE"""),"Darina Charlotte	Seumenicht")</f>
        <v>Darina Charlotte	Seumenicht</v>
      </c>
      <c r="F9" s="27" t="str">
        <f ca="1">IFERROR(__xludf.DUMMYFUNCTION("""COMPUTED_VALUE"""),"Bastiaan Marc	Scheurwater")</f>
        <v>Bastiaan Marc	Scheurwater</v>
      </c>
      <c r="G9" s="27" t="str">
        <f ca="1">IFERROR(__xludf.DUMMYFUNCTION("""COMPUTED_VALUE"""),"Laura Camila	Zamora Chamorro")</f>
        <v>Laura Camila	Zamora Chamorro</v>
      </c>
      <c r="H9" s="27"/>
      <c r="I9" s="27" t="str">
        <f ca="1">IFERROR(__xludf.DUMMYFUNCTION("""COMPUTED_VALUE"""),"Amanda Yutian	Song Li")</f>
        <v>Amanda Yutian	Song Li</v>
      </c>
      <c r="J9" s="27" t="str">
        <f ca="1">IFERROR(__xludf.DUMMYFUNCTION("""COMPUTED_VALUE"""),"Samuel Grey	Villarreal Montoya")</f>
        <v>Samuel Grey	Villarreal Montoya</v>
      </c>
      <c r="K9" s="27" t="str">
        <f ca="1">IFERROR(__xludf.DUMMYFUNCTION("""COMPUTED_VALUE"""),"Charles Michael	Kaikai")</f>
        <v>Charles Michael	Kaikai</v>
      </c>
      <c r="L9" s="27" t="str">
        <f ca="1">IFERROR(__xludf.DUMMYFUNCTION("""COMPUTED_VALUE"""),"Erik	Frýdecký")</f>
        <v>Erik	Frýdecký</v>
      </c>
      <c r="M9" s="27" t="str">
        <f ca="1">IFERROR(__xludf.DUMMYFUNCTION("""COMPUTED_VALUE"""),"Justin Kiiza	Kwikiriza")</f>
        <v>Justin Kiiza	Kwikiriza</v>
      </c>
      <c r="N9" s="28" t="str">
        <f ca="1">IFERROR(__xludf.DUMMYFUNCTION("""COMPUTED_VALUE"""),"Elliot Friedrich")</f>
        <v>Elliot Friedrich</v>
      </c>
      <c r="O9" s="28" t="str">
        <f ca="1">IFERROR(__xludf.DUMMYFUNCTION("""COMPUTED_VALUE"""),"Chelsie Natalia Charria Flores")</f>
        <v>Chelsie Natalia Charria Flores</v>
      </c>
      <c r="P9" s="28"/>
      <c r="Q9" s="28" t="str">
        <f ca="1">IFERROR(__xludf.DUMMYFUNCTION("""COMPUTED_VALUE"""),"Darina Charlotte Seumenicht")</f>
        <v>Darina Charlotte Seumenicht</v>
      </c>
      <c r="R9" s="28"/>
      <c r="S9" s="28" t="str">
        <f ca="1">IFERROR(__xludf.DUMMYFUNCTION("""COMPUTED_VALUE"""),"Chun-Ying Lai")</f>
        <v>Chun-Ying Lai</v>
      </c>
      <c r="T9" s="28"/>
      <c r="U9" s="28" t="str">
        <f ca="1">IFERROR(__xludf.DUMMYFUNCTION("""COMPUTED_VALUE"""),"Ella Sophia Shaw")</f>
        <v>Ella Sophia Shaw</v>
      </c>
      <c r="V9" s="28" t="str">
        <f ca="1">IFERROR(__xludf.DUMMYFUNCTION("""COMPUTED_VALUE"""),"Zoey Briseida Macias Garcia")</f>
        <v>Zoey Briseida Macias Garcia</v>
      </c>
      <c r="W9" s="28" t="str">
        <f ca="1">IFERROR(__xludf.DUMMYFUNCTION("""COMPUTED_VALUE"""),"Charles Michael Kaikai")</f>
        <v>Charles Michael Kaikai</v>
      </c>
      <c r="X9" s="28" t="str">
        <f ca="1">IFERROR(__xludf.DUMMYFUNCTION("""COMPUTED_VALUE"""),"Eileen Laurie Hagan")</f>
        <v>Eileen Laurie Hagan</v>
      </c>
      <c r="Y9" s="28" t="str">
        <f ca="1">IFERROR(__xludf.DUMMYFUNCTION("""COMPUTED_VALUE"""),"Gael Kalenga Kabale")</f>
        <v>Gael Kalenga Kabale</v>
      </c>
      <c r="Z9" s="29" t="str">
        <f ca="1">IFERROR(__xludf.DUMMYFUNCTION("""COMPUTED_VALUE"""),"Alexander Kuntz Kristiansen")</f>
        <v>Alexander Kuntz Kristiansen</v>
      </c>
      <c r="AA9" s="29" t="str">
        <f ca="1">IFERROR(__xludf.DUMMYFUNCTION("""COMPUTED_VALUE"""),"Sofía	Pagan Ortigas")</f>
        <v>Sofía	Pagan Ortigas</v>
      </c>
      <c r="AB9" s="29" t="str">
        <f ca="1">IFERROR(__xludf.DUMMYFUNCTION("""COMPUTED_VALUE"""),"Glynnes Enidt	Brett Ortiz")</f>
        <v>Glynnes Enidt	Brett Ortiz</v>
      </c>
      <c r="AC9" s="29" t="str">
        <f ca="1">IFERROR(__xludf.DUMMYFUNCTION("""COMPUTED_VALUE"""),"Daniela De Los Angeles	Barquero Montoya")</f>
        <v>Daniela De Los Angeles	Barquero Montoya</v>
      </c>
      <c r="AD9" s="29" t="str">
        <f ca="1">IFERROR(__xludf.DUMMYFUNCTION("""COMPUTED_VALUE"""),"Erik	Frýdecký")</f>
        <v>Erik	Frýdecký</v>
      </c>
      <c r="AE9" s="29"/>
      <c r="AF9" s="29" t="str">
        <f ca="1">IFERROR(__xludf.DUMMYFUNCTION("""COMPUTED_VALUE"""),"Anahi Sachin Dhanani")</f>
        <v>Anahi Sachin Dhanani</v>
      </c>
      <c r="AG9" s="29"/>
      <c r="AH9" s="29" t="str">
        <f ca="1">IFERROR(__xludf.DUMMYFUNCTION("""COMPUTED_VALUE"""),"Hanifah	Zahidah")</f>
        <v>Hanifah	Zahidah</v>
      </c>
      <c r="AI9" s="29" t="str">
        <f ca="1">IFERROR(__xludf.DUMMYFUNCTION("""COMPUTED_VALUE"""),"Elliot	Friedrich")</f>
        <v>Elliot	Friedrich</v>
      </c>
      <c r="AJ9" s="29" t="str">
        <f ca="1">IFERROR(__xludf.DUMMYFUNCTION("""COMPUTED_VALUE"""),"Mitra Mahin	Abram")</f>
        <v>Mitra Mahin	Abram</v>
      </c>
      <c r="AK9" s="29" t="str">
        <f ca="1">IFERROR(__xludf.DUMMYFUNCTION("""COMPUTED_VALUE"""),"En-Ting	Chen")</f>
        <v>En-Ting	Chen</v>
      </c>
      <c r="AL9" s="29"/>
      <c r="AM9" s="29" t="str">
        <f ca="1">IFERROR(__xludf.DUMMYFUNCTION("""COMPUTED_VALUE"""),"Bastiaan Marc	Scheurwater")</f>
        <v>Bastiaan Marc	Scheurwater</v>
      </c>
      <c r="AN9" s="30" t="str">
        <f ca="1">IFERROR(__xludf.DUMMYFUNCTION("""COMPUTED_VALUE"""),"Glynnes Enidt Brett Ortiz")</f>
        <v>Glynnes Enidt Brett Ortiz</v>
      </c>
      <c r="AO9" s="30" t="str">
        <f ca="1">IFERROR(__xludf.DUMMYFUNCTION("""COMPUTED_VALUE"""),"Sebastián Roberto Sánchez Obregón")</f>
        <v>Sebastián Roberto Sánchez Obregón</v>
      </c>
      <c r="AP9" s="30" t="str">
        <f ca="1">IFERROR(__xludf.DUMMYFUNCTION("""COMPUTED_VALUE"""),"Eva Movchan")</f>
        <v>Eva Movchan</v>
      </c>
      <c r="AQ9" s="30"/>
      <c r="AR9" s="30" t="str">
        <f ca="1">IFERROR(__xludf.DUMMYFUNCTION("""COMPUTED_VALUE"""),"Eoin Chandra O Donaill Zanoni")</f>
        <v>Eoin Chandra O Donaill Zanoni</v>
      </c>
      <c r="AS9" s="30" t="str">
        <f ca="1">IFERROR(__xludf.DUMMYFUNCTION("""COMPUTED_VALUE"""),"Coco Treska Hyslop")</f>
        <v>Coco Treska Hyslop</v>
      </c>
      <c r="AT9" s="30" t="str">
        <f ca="1">IFERROR(__xludf.DUMMYFUNCTION("""COMPUTED_VALUE"""),"Darina Charlotte Seumenicht")</f>
        <v>Darina Charlotte Seumenicht</v>
      </c>
      <c r="AU9" s="30" t="str">
        <f ca="1">IFERROR(__xludf.DUMMYFUNCTION("""COMPUTED_VALUE"""),"Amanda Yutian Song Li")</f>
        <v>Amanda Yutian Song Li</v>
      </c>
      <c r="AV9" s="30"/>
      <c r="AW9" s="30" t="str">
        <f ca="1">IFERROR(__xludf.DUMMYFUNCTION("""COMPUTED_VALUE"""),"Charles Michael Kaikai")</f>
        <v>Charles Michael Kaikai</v>
      </c>
      <c r="AX9" s="27" t="str">
        <f ca="1">IFERROR(__xludf.DUMMYFUNCTION("""COMPUTED_VALUE"""),"Cora Naomi        De Silva")</f>
        <v>Cora Naomi        De Silva</v>
      </c>
      <c r="AY9" s="27" t="str">
        <f ca="1">IFERROR(__xludf.DUMMYFUNCTION("""COMPUTED_VALUE"""),"Amanda Yutian	Song Li")</f>
        <v>Amanda Yutian	Song Li</v>
      </c>
      <c r="AZ9" s="27" t="str">
        <f ca="1">IFERROR(__xludf.DUMMYFUNCTION("""COMPUTED_VALUE"""),"Laila Emmanuelle Thorburn	Chen")</f>
        <v>Laila Emmanuelle Thorburn	Chen</v>
      </c>
      <c r="BA9" s="27" t="str">
        <f ca="1">IFERROR(__xludf.DUMMYFUNCTION("""COMPUTED_VALUE"""),"Elliot	Friedrich")</f>
        <v>Elliot	Friedrich</v>
      </c>
      <c r="BB9" s="27" t="str">
        <f ca="1">IFERROR(__xludf.DUMMYFUNCTION("""COMPUTED_VALUE"""),"Olivia Sayaka Bates	Persson")</f>
        <v>Olivia Sayaka Bates	Persson</v>
      </c>
      <c r="BC9" s="27" t="str">
        <f ca="1">IFERROR(__xludf.DUMMYFUNCTION("""COMPUTED_VALUE"""),"Chun-Ying	Lai")</f>
        <v>Chun-Ying	Lai</v>
      </c>
      <c r="BD9" s="27" t="str">
        <f ca="1">IFERROR(__xludf.DUMMYFUNCTION("""COMPUTED_VALUE"""),"Cora Naomi	De Silva")</f>
        <v>Cora Naomi	De Silva</v>
      </c>
      <c r="BE9" s="27" t="str">
        <f ca="1">IFERROR(__xludf.DUMMYFUNCTION("""COMPUTED_VALUE"""),"Chelsie Natalia	Charria Flores")</f>
        <v>Chelsie Natalia	Charria Flores</v>
      </c>
      <c r="BF9" s="28" t="str">
        <f ca="1">IFERROR(__xludf.DUMMYFUNCTION("""COMPUTED_VALUE"""),"Edit	Csernus")</f>
        <v>Edit	Csernus</v>
      </c>
      <c r="BG9" s="28" t="str">
        <f ca="1">IFERROR(__xludf.DUMMYFUNCTION("""COMPUTED_VALUE"""),"Erik Frýdecký")</f>
        <v>Erik Frýdecký</v>
      </c>
      <c r="BH9" s="28" t="str">
        <f ca="1">IFERROR(__xludf.DUMMYFUNCTION("""COMPUTED_VALUE"""),"Anahi Sachin Dhanani")</f>
        <v>Anahi Sachin Dhanani</v>
      </c>
      <c r="BI9" s="28" t="str">
        <f ca="1">IFERROR(__xludf.DUMMYFUNCTION("""COMPUTED_VALUE"""),"Carl Gustav Mandl")</f>
        <v>Carl Gustav Mandl</v>
      </c>
      <c r="BJ9" s="28" t="str">
        <f ca="1">IFERROR(__xludf.DUMMYFUNCTION("""COMPUTED_VALUE"""),"Mpundu Hervé Impano")</f>
        <v>Mpundu Hervé Impano</v>
      </c>
      <c r="BK9" s="28" t="str">
        <f ca="1">IFERROR(__xludf.DUMMYFUNCTION("""COMPUTED_VALUE"""),"Maria Panagiota Kaoudi")</f>
        <v>Maria Panagiota Kaoudi</v>
      </c>
      <c r="BL9" s="28" t="str">
        <f ca="1">IFERROR(__xludf.DUMMYFUNCTION("""COMPUTED_VALUE"""),"Amanda Yutian Song Li")</f>
        <v>Amanda Yutian Song Li</v>
      </c>
      <c r="BM9" s="28" t="str">
        <f ca="1">IFERROR(__xludf.DUMMYFUNCTION("""COMPUTED_VALUE"""),"Daniel Marcelo Vargas Mata")</f>
        <v>Daniel Marcelo Vargas Mata</v>
      </c>
      <c r="BN9" s="28" t="str">
        <f ca="1">IFERROR(__xludf.DUMMYFUNCTION("""COMPUTED_VALUE"""),"Hanifah	Zahidah")</f>
        <v>Hanifah	Zahidah</v>
      </c>
      <c r="BO9" s="29" t="str">
        <f ca="1">IFERROR(__xludf.DUMMYFUNCTION("""COMPUTED_VALUE"""),"Luis Fernando Rueda Matute")</f>
        <v>Luis Fernando Rueda Matute</v>
      </c>
      <c r="BP9" s="29" t="str">
        <f ca="1">IFERROR(__xludf.DUMMYFUNCTION("""COMPUTED_VALUE"""),"Anahi Sachin	Dhanani")</f>
        <v>Anahi Sachin	Dhanani</v>
      </c>
      <c r="BQ9" s="29" t="str">
        <f ca="1">IFERROR(__xludf.DUMMYFUNCTION("""COMPUTED_VALUE"""),"Edit	Csernus")</f>
        <v>Edit	Csernus</v>
      </c>
      <c r="BR9" s="29" t="str">
        <f ca="1">IFERROR(__xludf.DUMMYFUNCTION("""COMPUTED_VALUE"""),"Alexander Kuntz 	Kristiansen")</f>
        <v>Alexander Kuntz 	Kristiansen</v>
      </c>
      <c r="BS9" s="29" t="str">
        <f ca="1">IFERROR(__xludf.DUMMYFUNCTION("""COMPUTED_VALUE"""),"Daniel Marcelo	Vargas Mata")</f>
        <v>Daniel Marcelo	Vargas Mata</v>
      </c>
      <c r="BT9" s="29" t="str">
        <f ca="1">IFERROR(__xludf.DUMMYFUNCTION("""COMPUTED_VALUE"""),"Maria Fernanda	Castillo Cuellar")</f>
        <v>Maria Fernanda	Castillo Cuellar</v>
      </c>
      <c r="BU9" s="30" t="str">
        <f ca="1">IFERROR(__xludf.DUMMYFUNCTION("""COMPUTED_VALUE"""),"Cora Naomi	De Silva")</f>
        <v>Cora Naomi	De Silva</v>
      </c>
      <c r="BV9" s="30" t="str">
        <f ca="1">IFERROR(__xludf.DUMMYFUNCTION("""COMPUTED_VALUE"""),"Cora Naomi	De Silva")</f>
        <v>Cora Naomi	De Silva</v>
      </c>
      <c r="BW9" s="30" t="str">
        <f ca="1">IFERROR(__xludf.DUMMYFUNCTION("""COMPUTED_VALUE"""),"En-Ting	Chen")</f>
        <v>En-Ting	Chen</v>
      </c>
      <c r="BX9" s="30" t="str">
        <f ca="1">IFERROR(__xludf.DUMMYFUNCTION("""COMPUTED_VALUE"""),"Daniela De Los Angeles	Barquero Montoya")</f>
        <v>Daniela De Los Angeles	Barquero Montoya</v>
      </c>
      <c r="BY9" s="30" t="str">
        <f ca="1">IFERROR(__xludf.DUMMYFUNCTION("""COMPUTED_VALUE"""),"Mitra Mahin	Abram")</f>
        <v>Mitra Mahin	Abram</v>
      </c>
      <c r="BZ9" s="30" t="str">
        <f ca="1">IFERROR(__xludf.DUMMYFUNCTION("""COMPUTED_VALUE"""),"Coco Tresca	Hyslop")</f>
        <v>Coco Tresca	Hyslop</v>
      </c>
      <c r="CA9" s="30" t="str">
        <f ca="1">IFERROR(__xludf.DUMMYFUNCTION("""COMPUTED_VALUE"""),"Jasmine Feliz	Tielenius Kruythoff")</f>
        <v>Jasmine Feliz	Tielenius Kruythoff</v>
      </c>
      <c r="CB9" s="31"/>
      <c r="CC9" s="31"/>
      <c r="CD9" s="31"/>
      <c r="CE9" s="31"/>
      <c r="CF9" s="31"/>
      <c r="CG9" s="31"/>
      <c r="CH9" s="31"/>
      <c r="CI9" s="31"/>
      <c r="CJ9" s="31"/>
      <c r="CK9" s="31"/>
    </row>
    <row r="10" spans="1:89" x14ac:dyDescent="0.2">
      <c r="A10" s="32">
        <f ca="1">IFERROR(__xludf.DUMMYFUNCTION("""COMPUTED_VALUE"""),3)</f>
        <v>3</v>
      </c>
      <c r="B10" s="27" t="str">
        <f ca="1">IFERROR(__xludf.DUMMYFUNCTION("""COMPUTED_VALUE"""),"Derick Adolfo	Rivas Delgado")</f>
        <v>Derick Adolfo	Rivas Delgado</v>
      </c>
      <c r="C10" s="27" t="str">
        <f ca="1">IFERROR(__xludf.DUMMYFUNCTION("""COMPUTED_VALUE"""),"Elliot	Friedrich")</f>
        <v>Elliot	Friedrich</v>
      </c>
      <c r="D10" s="27"/>
      <c r="E10" s="27" t="str">
        <f ca="1">IFERROR(__xludf.DUMMYFUNCTION("""COMPUTED_VALUE"""),"Jase	Baidya")</f>
        <v>Jase	Baidya</v>
      </c>
      <c r="F10" s="27" t="str">
        <f ca="1">IFERROR(__xludf.DUMMYFUNCTION("""COMPUTED_VALUE"""),"Chimiemena Shekinah	Njoku")</f>
        <v>Chimiemena Shekinah	Njoku</v>
      </c>
      <c r="G10" s="27" t="str">
        <f ca="1">IFERROR(__xludf.DUMMYFUNCTION("""COMPUTED_VALUE"""),"Lottie Stares	Lewis")</f>
        <v>Lottie Stares	Lewis</v>
      </c>
      <c r="H10" s="27"/>
      <c r="I10" s="27" t="str">
        <f ca="1">IFERROR(__xludf.DUMMYFUNCTION("""COMPUTED_VALUE"""),"Chimme Pema	Selden")</f>
        <v>Chimme Pema	Selden</v>
      </c>
      <c r="J10" s="27"/>
      <c r="K10" s="27" t="str">
        <f ca="1">IFERROR(__xludf.DUMMYFUNCTION("""COMPUTED_VALUE"""),"Eldar	Musayev")</f>
        <v>Eldar	Musayev</v>
      </c>
      <c r="L10" s="27" t="str">
        <f ca="1">IFERROR(__xludf.DUMMYFUNCTION("""COMPUTED_VALUE"""),"Olivia Sayaka Bates	Persson")</f>
        <v>Olivia Sayaka Bates	Persson</v>
      </c>
      <c r="M10" s="33" t="str">
        <f ca="1">IFERROR(__xludf.DUMMYFUNCTION("""COMPUTED_VALUE"""),"Fabiana	Román Pérez")</f>
        <v>Fabiana	Román Pérez</v>
      </c>
      <c r="N10" s="28" t="str">
        <f ca="1">IFERROR(__xludf.DUMMYFUNCTION("""COMPUTED_VALUE"""),"Layla Malia Khubchandani")</f>
        <v>Layla Malia Khubchandani</v>
      </c>
      <c r="O10" s="28" t="str">
        <f ca="1">IFERROR(__xludf.DUMMYFUNCTION("""COMPUTED_VALUE"""),"Chimme Pema Selden")</f>
        <v>Chimme Pema Selden</v>
      </c>
      <c r="P10" s="28"/>
      <c r="Q10" s="28" t="str">
        <f ca="1">IFERROR(__xludf.DUMMYFUNCTION("""COMPUTED_VALUE"""),"Eoin Chandra O Donaill Zanoni")</f>
        <v>Eoin Chandra O Donaill Zanoni</v>
      </c>
      <c r="R10" s="28"/>
      <c r="S10" s="28" t="str">
        <f ca="1">IFERROR(__xludf.DUMMYFUNCTION("""COMPUTED_VALUE"""),"Cora Naomi De Silva")</f>
        <v>Cora Naomi De Silva</v>
      </c>
      <c r="T10" s="28"/>
      <c r="U10" s="28" t="str">
        <f ca="1">IFERROR(__xludf.DUMMYFUNCTION("""COMPUTED_VALUE"""),"Hanifah Zahidah")</f>
        <v>Hanifah Zahidah</v>
      </c>
      <c r="V10" s="28"/>
      <c r="W10" s="28" t="str">
        <f ca="1">IFERROR(__xludf.DUMMYFUNCTION("""COMPUTED_VALUE"""),"Mitra Mahin Abram")</f>
        <v>Mitra Mahin Abram</v>
      </c>
      <c r="X10" s="28" t="str">
        <f ca="1">IFERROR(__xludf.DUMMYFUNCTION("""COMPUTED_VALUE"""),"Glynnes Enidt Brett Ortiz")</f>
        <v>Glynnes Enidt Brett Ortiz</v>
      </c>
      <c r="Y10" s="28"/>
      <c r="Z10" s="29" t="str">
        <f ca="1">IFERROR(__xludf.DUMMYFUNCTION("""COMPUTED_VALUE"""),"Chun-Ying	Lai")</f>
        <v>Chun-Ying	Lai</v>
      </c>
      <c r="AA10" s="29"/>
      <c r="AB10" s="29"/>
      <c r="AC10" s="29" t="str">
        <f ca="1">IFERROR(__xludf.DUMMYFUNCTION("""COMPUTED_VALUE"""),"Maithe Antonia	Gonzalez Concha")</f>
        <v>Maithe Antonia	Gonzalez Concha</v>
      </c>
      <c r="AD10" s="29" t="str">
        <f ca="1">IFERROR(__xludf.DUMMYFUNCTION("""COMPUTED_VALUE"""),"Ilia Ivanov	Hristanov")</f>
        <v>Ilia Ivanov	Hristanov</v>
      </c>
      <c r="AE10" s="29"/>
      <c r="AF10" s="29" t="str">
        <f ca="1">IFERROR(__xludf.DUMMYFUNCTION("""COMPUTED_VALUE"""),"Anouk Juulke	Stahl")</f>
        <v>Anouk Juulke	Stahl</v>
      </c>
      <c r="AG10" s="29"/>
      <c r="AH10" s="29" t="str">
        <f ca="1">IFERROR(__xludf.DUMMYFUNCTION("""COMPUTED_VALUE"""),"Marek Daniel	Barančík")</f>
        <v>Marek Daniel	Barančík</v>
      </c>
      <c r="AI10" s="29" t="str">
        <f ca="1">IFERROR(__xludf.DUMMYFUNCTION("""COMPUTED_VALUE"""),"Maša	Pašić")</f>
        <v>Maša	Pašić</v>
      </c>
      <c r="AJ10" s="29" t="str">
        <f ca="1">IFERROR(__xludf.DUMMYFUNCTION("""COMPUTED_VALUE"""),"Sragvi Umesh Bhoyar")</f>
        <v>Sragvi Umesh Bhoyar</v>
      </c>
      <c r="AK10" s="29" t="str">
        <f ca="1">IFERROR(__xludf.DUMMYFUNCTION("""COMPUTED_VALUE"""),"Ernesto Horacio	Geymonat Armand Ugon")</f>
        <v>Ernesto Horacio	Geymonat Armand Ugon</v>
      </c>
      <c r="AL10" s="29"/>
      <c r="AM10" s="29" t="str">
        <f ca="1">IFERROR(__xludf.DUMMYFUNCTION("""COMPUTED_VALUE"""),"Carl Gustav	Mandl")</f>
        <v>Carl Gustav	Mandl</v>
      </c>
      <c r="AN10" s="30" t="str">
        <f ca="1">IFERROR(__xludf.DUMMYFUNCTION("""COMPUTED_VALUE"""),"Maithe Antonia Gonzalez Concha")</f>
        <v>Maithe Antonia Gonzalez Concha</v>
      </c>
      <c r="AO10" s="30" t="str">
        <f ca="1">IFERROR(__xludf.DUMMYFUNCTION("""COMPUTED_VALUE"""),"Tenzin Norsang")</f>
        <v>Tenzin Norsang</v>
      </c>
      <c r="AP10" s="30" t="str">
        <f ca="1">IFERROR(__xludf.DUMMYFUNCTION("""COMPUTED_VALUE"""),"Javier Fuentes Hermoso")</f>
        <v>Javier Fuentes Hermoso</v>
      </c>
      <c r="AQ10" s="30"/>
      <c r="AR10" s="30" t="str">
        <f ca="1">IFERROR(__xludf.DUMMYFUNCTION("""COMPUTED_VALUE"""),"Lauren Dulce Gonzales Veltman")</f>
        <v>Lauren Dulce Gonzales Veltman</v>
      </c>
      <c r="AS10" s="30" t="str">
        <f ca="1">IFERROR(__xludf.DUMMYFUNCTION("""COMPUTED_VALUE"""),"Emilie Lisa Francese")</f>
        <v>Emilie Lisa Francese</v>
      </c>
      <c r="AT10" s="30" t="str">
        <f ca="1">IFERROR(__xludf.DUMMYFUNCTION("""COMPUTED_VALUE"""),"Layla Malia Khubchandani")</f>
        <v>Layla Malia Khubchandani</v>
      </c>
      <c r="AU10" s="30" t="str">
        <f ca="1">IFERROR(__xludf.DUMMYFUNCTION("""COMPUTED_VALUE"""),"Eileen Laurie Hagan")</f>
        <v>Eileen Laurie Hagan</v>
      </c>
      <c r="AV10" s="30"/>
      <c r="AW10" s="30" t="str">
        <f ca="1">IFERROR(__xludf.DUMMYFUNCTION("""COMPUTED_VALUE"""),"Chelsie Natalia Charria Flores")</f>
        <v>Chelsie Natalia Charria Flores</v>
      </c>
      <c r="AX10" s="27" t="str">
        <f ca="1">IFERROR(__xludf.DUMMYFUNCTION("""COMPUTED_VALUE"""),"Ilia Ivanov        Hristanov")</f>
        <v>Ilia Ivanov        Hristanov</v>
      </c>
      <c r="AY10" s="27" t="str">
        <f ca="1">IFERROR(__xludf.DUMMYFUNCTION("""COMPUTED_VALUE"""),"Daniel Marcelo	Vargas Mata")</f>
        <v>Daniel Marcelo	Vargas Mata</v>
      </c>
      <c r="AZ10" s="27" t="str">
        <f ca="1">IFERROR(__xludf.DUMMYFUNCTION("""COMPUTED_VALUE"""),"Jing-U	Lin")</f>
        <v>Jing-U	Lin</v>
      </c>
      <c r="BA10" s="27" t="str">
        <f ca="1">IFERROR(__xludf.DUMMYFUNCTION("""COMPUTED_VALUE"""),"Emilie Lisa	Francese")</f>
        <v>Emilie Lisa	Francese</v>
      </c>
      <c r="BB10" s="27" t="str">
        <f ca="1">IFERROR(__xludf.DUMMYFUNCTION("""COMPUTED_VALUE"""),"Sebastián Roberto	Sánchez Obregón")</f>
        <v>Sebastián Roberto	Sánchez Obregón</v>
      </c>
      <c r="BC10" s="27" t="str">
        <f ca="1">IFERROR(__xludf.DUMMYFUNCTION("""COMPUTED_VALUE"""),"Eileen Laurie	Hagan")</f>
        <v>Eileen Laurie	Hagan</v>
      </c>
      <c r="BD10" s="27" t="str">
        <f ca="1">IFERROR(__xludf.DUMMYFUNCTION("""COMPUTED_VALUE"""),"Darina Charlotte	Seumenicht")</f>
        <v>Darina Charlotte	Seumenicht</v>
      </c>
      <c r="BE10" s="27" t="str">
        <f ca="1">IFERROR(__xludf.DUMMYFUNCTION("""COMPUTED_VALUE"""),"Coco Tresca	Hyslop")</f>
        <v>Coco Tresca	Hyslop</v>
      </c>
      <c r="BF10" s="28" t="str">
        <f ca="1">IFERROR(__xludf.DUMMYFUNCTION("""COMPUTED_VALUE"""),"En-Ting	Chen")</f>
        <v>En-Ting	Chen</v>
      </c>
      <c r="BG10" s="28" t="str">
        <f ca="1">IFERROR(__xludf.DUMMYFUNCTION("""COMPUTED_VALUE"""),"Fabiana Román Pérez")</f>
        <v>Fabiana Román Pérez</v>
      </c>
      <c r="BH10" s="28" t="str">
        <f ca="1">IFERROR(__xludf.DUMMYFUNCTION("""COMPUTED_VALUE"""),"Chimiemena Shekinah Njoku")</f>
        <v>Chimiemena Shekinah Njoku</v>
      </c>
      <c r="BI10" s="28" t="str">
        <f ca="1">IFERROR(__xludf.DUMMYFUNCTION("""COMPUTED_VALUE"""),"Coco Tresca Hyslop")</f>
        <v>Coco Tresca Hyslop</v>
      </c>
      <c r="BJ10" s="28" t="str">
        <f ca="1">IFERROR(__xludf.DUMMYFUNCTION("""COMPUTED_VALUE"""),"Nala Jasmina Norsworthy")</f>
        <v>Nala Jasmina Norsworthy</v>
      </c>
      <c r="BK10" s="28" t="str">
        <f ca="1">IFERROR(__xludf.DUMMYFUNCTION("""COMPUTED_VALUE"""),"Natasza Maria Obrycka")</f>
        <v>Natasza Maria Obrycka</v>
      </c>
      <c r="BL10" s="28" t="str">
        <f ca="1">IFERROR(__xludf.DUMMYFUNCTION("""COMPUTED_VALUE"""),"Anna Eleanor Nalezny")</f>
        <v>Anna Eleanor Nalezny</v>
      </c>
      <c r="BM10" s="28" t="str">
        <f ca="1">IFERROR(__xludf.DUMMYFUNCTION("""COMPUTED_VALUE"""),"Daniela De Los Angeles Barquero Montoya")</f>
        <v>Daniela De Los Angeles Barquero Montoya</v>
      </c>
      <c r="BN10" s="28" t="str">
        <f ca="1">IFERROR(__xludf.DUMMYFUNCTION("""COMPUTED_VALUE"""),"Lauren Dulce	Gonzales Veltman")</f>
        <v>Lauren Dulce	Gonzales Veltman</v>
      </c>
      <c r="BO10" s="29" t="str">
        <f ca="1">IFERROR(__xludf.DUMMYFUNCTION("""COMPUTED_VALUE"""),"Mariana Jiménez Cerdas")</f>
        <v>Mariana Jiménez Cerdas</v>
      </c>
      <c r="BP10" s="29" t="str">
        <f ca="1">IFERROR(__xludf.DUMMYFUNCTION("""COMPUTED_VALUE"""),"Anouk Juulke	Stahl")</f>
        <v>Anouk Juulke	Stahl</v>
      </c>
      <c r="BQ10" s="29" t="str">
        <f ca="1">IFERROR(__xludf.DUMMYFUNCTION("""COMPUTED_VALUE"""),"Halia Farran	Souweine")</f>
        <v>Halia Farran	Souweine</v>
      </c>
      <c r="BR10" s="29" t="str">
        <f ca="1">IFERROR(__xludf.DUMMYFUNCTION("""COMPUTED_VALUE"""),"Bastiaan Marc	Scheurwater")</f>
        <v>Bastiaan Marc	Scheurwater</v>
      </c>
      <c r="BS10" s="29" t="str">
        <f ca="1">IFERROR(__xludf.DUMMYFUNCTION("""COMPUTED_VALUE"""),"Daniela De Los Angeles	Barquero Montoya")</f>
        <v>Daniela De Los Angeles	Barquero Montoya</v>
      </c>
      <c r="BT10" s="29" t="str">
        <f ca="1">IFERROR(__xludf.DUMMYFUNCTION("""COMPUTED_VALUE"""),"Maria Panagiota	Kaoudi")</f>
        <v>Maria Panagiota	Kaoudi</v>
      </c>
      <c r="BU10" s="30" t="str">
        <f ca="1">IFERROR(__xludf.DUMMYFUNCTION("""COMPUTED_VALUE"""),"Elliot	Friedrich")</f>
        <v>Elliot	Friedrich</v>
      </c>
      <c r="BV10" s="30" t="str">
        <f ca="1">IFERROR(__xludf.DUMMYFUNCTION("""COMPUTED_VALUE"""),"Edit	Csernus")</f>
        <v>Edit	Csernus</v>
      </c>
      <c r="BW10" s="30" t="str">
        <f ca="1">IFERROR(__xludf.DUMMYFUNCTION("""COMPUTED_VALUE"""),"Eoin Chandra	O Donaill Zanoni")</f>
        <v>Eoin Chandra	O Donaill Zanoni</v>
      </c>
      <c r="BX10" s="30" t="str">
        <f ca="1">IFERROR(__xludf.DUMMYFUNCTION("""COMPUTED_VALUE"""),"Derick Adolfo	Rivas Delgado")</f>
        <v>Derick Adolfo	Rivas Delgado</v>
      </c>
      <c r="BY10" s="30" t="str">
        <f ca="1">IFERROR(__xludf.DUMMYFUNCTION("""COMPUTED_VALUE"""),"Nicola Chebet")</f>
        <v>Nicola Chebet</v>
      </c>
      <c r="BZ10" s="30" t="str">
        <f ca="1">IFERROR(__xludf.DUMMYFUNCTION("""COMPUTED_VALUE"""),"Halia Farran	Souweine")</f>
        <v>Halia Farran	Souweine</v>
      </c>
      <c r="CA10" s="30" t="str">
        <f ca="1">IFERROR(__xludf.DUMMYFUNCTION("""COMPUTED_VALUE"""),"Lottie Stares	Lewis")</f>
        <v>Lottie Stares	Lewis</v>
      </c>
      <c r="CB10" s="31"/>
      <c r="CC10" s="31"/>
      <c r="CD10" s="31"/>
      <c r="CE10" s="31"/>
      <c r="CF10" s="31"/>
      <c r="CG10" s="31"/>
      <c r="CH10" s="31"/>
      <c r="CI10" s="31"/>
      <c r="CJ10" s="31"/>
      <c r="CK10" s="31"/>
    </row>
    <row r="11" spans="1:89" x14ac:dyDescent="0.2">
      <c r="A11" s="32">
        <f ca="1">IFERROR(__xludf.DUMMYFUNCTION("""COMPUTED_VALUE"""),4)</f>
        <v>4</v>
      </c>
      <c r="B11" s="34" t="str">
        <f ca="1">IFERROR(__xludf.DUMMYFUNCTION("""COMPUTED_VALUE"""),"Fiorella Jazmin	Melgarejo Esquivel")</f>
        <v>Fiorella Jazmin	Melgarejo Esquivel</v>
      </c>
      <c r="C11" s="27" t="str">
        <f ca="1">IFERROR(__xludf.DUMMYFUNCTION("""COMPUTED_VALUE"""),"Herman Dahl	Gaustad")</f>
        <v>Herman Dahl	Gaustad</v>
      </c>
      <c r="D11" s="27"/>
      <c r="E11" s="27" t="str">
        <f ca="1">IFERROR(__xludf.DUMMYFUNCTION("""COMPUTED_VALUE"""),"Mariana	Jiménez Cerdas")</f>
        <v>Mariana	Jiménez Cerdas</v>
      </c>
      <c r="F11" s="27" t="str">
        <f ca="1">IFERROR(__xludf.DUMMYFUNCTION("""COMPUTED_VALUE"""),"Halia Farran	Souweine")</f>
        <v>Halia Farran	Souweine</v>
      </c>
      <c r="G11" s="27" t="str">
        <f ca="1">IFERROR(__xludf.DUMMYFUNCTION("""COMPUTED_VALUE"""),"Tushita	Negi")</f>
        <v>Tushita	Negi</v>
      </c>
      <c r="H11" s="27"/>
      <c r="I11" s="27" t="str">
        <f ca="1">IFERROR(__xludf.DUMMYFUNCTION("""COMPUTED_VALUE"""),"Edit	Csernus")</f>
        <v>Edit	Csernus</v>
      </c>
      <c r="J11" s="27"/>
      <c r="K11" s="27" t="str">
        <f ca="1">IFERROR(__xludf.DUMMYFUNCTION("""COMPUTED_VALUE"""),"Ernesto Horacio	Geymonat Armand Ugon")</f>
        <v>Ernesto Horacio	Geymonat Armand Ugon</v>
      </c>
      <c r="L11" s="27" t="str">
        <f ca="1">IFERROR(__xludf.DUMMYFUNCTION("""COMPUTED_VALUE"""),"Teresa	Camarundin Campos")</f>
        <v>Teresa	Camarundin Campos</v>
      </c>
      <c r="M11" s="27" t="str">
        <f ca="1">IFERROR(__xludf.DUMMYFUNCTION("""COMPUTED_VALUE"""),"Nicola Chebet	Sabula")</f>
        <v>Nicola Chebet	Sabula</v>
      </c>
      <c r="N11" s="28" t="str">
        <f ca="1">IFERROR(__xludf.DUMMYFUNCTION("""COMPUTED_VALUE"""),"Luis Lozano Samper")</f>
        <v>Luis Lozano Samper</v>
      </c>
      <c r="O11" s="28" t="str">
        <f ca="1">IFERROR(__xludf.DUMMYFUNCTION("""COMPUTED_VALUE"""),"Fabiana Román Pérez")</f>
        <v>Fabiana Román Pérez</v>
      </c>
      <c r="P11" s="28"/>
      <c r="Q11" s="28" t="str">
        <f ca="1">IFERROR(__xludf.DUMMYFUNCTION("""COMPUTED_VALUE"""),"Fiorella Jazmin Melgarejo Esquivel")</f>
        <v>Fiorella Jazmin Melgarejo Esquivel</v>
      </c>
      <c r="R11" s="28"/>
      <c r="S11" s="28" t="str">
        <f ca="1">IFERROR(__xludf.DUMMYFUNCTION("""COMPUTED_VALUE"""),"Derick Adolfo Rivas Delgado")</f>
        <v>Derick Adolfo Rivas Delgado</v>
      </c>
      <c r="T11" s="28"/>
      <c r="U11" s="28" t="str">
        <f ca="1">IFERROR(__xludf.DUMMYFUNCTION("""COMPUTED_VALUE"""),"Nika Fransis")</f>
        <v>Nika Fransis</v>
      </c>
      <c r="V11" s="28"/>
      <c r="W11" s="28" t="str">
        <f ca="1">IFERROR(__xludf.DUMMYFUNCTION("""COMPUTED_VALUE"""),"Javier	Fuentes Hermoso")</f>
        <v>Javier	Fuentes Hermoso</v>
      </c>
      <c r="X11" s="28" t="str">
        <f ca="1">IFERROR(__xludf.DUMMYFUNCTION("""COMPUTED_VALUE"""),"Maria Fernanda Castillo Cuellar")</f>
        <v>Maria Fernanda Castillo Cuellar</v>
      </c>
      <c r="Y11" s="28"/>
      <c r="Z11" s="29" t="str">
        <f ca="1">IFERROR(__xludf.DUMMYFUNCTION("""COMPUTED_VALUE"""),"Coco Tresca	Hyslop")</f>
        <v>Coco Tresca	Hyslop</v>
      </c>
      <c r="AA11" s="29"/>
      <c r="AB11" s="29"/>
      <c r="AC11" s="29"/>
      <c r="AD11" s="29" t="str">
        <f ca="1">IFERROR(__xludf.DUMMYFUNCTION("""COMPUTED_VALUE"""),"Jase	Baidya")</f>
        <v>Jase	Baidya</v>
      </c>
      <c r="AE11" s="29"/>
      <c r="AF11" s="29" t="str">
        <f ca="1">IFERROR(__xludf.DUMMYFUNCTION("""COMPUTED_VALUE"""),"Fabiana	Román Pérez")</f>
        <v>Fabiana	Román Pérez</v>
      </c>
      <c r="AG11" s="29"/>
      <c r="AH11" s="29" t="str">
        <f ca="1">IFERROR(__xludf.DUMMYFUNCTION("""COMPUTED_VALUE"""),"Natasza Maria	Obrycka")</f>
        <v>Natasza Maria	Obrycka</v>
      </c>
      <c r="AI11" s="29" t="str">
        <f ca="1">IFERROR(__xludf.DUMMYFUNCTION("""COMPUTED_VALUE"""),"Mateo Andrés        BenÍtez Lara")</f>
        <v>Mateo Andrés        BenÍtez Lara</v>
      </c>
      <c r="AJ11" s="29"/>
      <c r="AK11" s="29" t="str">
        <f ca="1">IFERROR(__xludf.DUMMYFUNCTION("""COMPUTED_VALUE"""),"Luis	Lozano Samper")</f>
        <v>Luis	Lozano Samper</v>
      </c>
      <c r="AL11" s="29"/>
      <c r="AM11" s="29" t="str">
        <f ca="1">IFERROR(__xludf.DUMMYFUNCTION("""COMPUTED_VALUE"""),"Chimiemena Shekinah	Njoku")</f>
        <v>Chimiemena Shekinah	Njoku</v>
      </c>
      <c r="AN11" s="30" t="str">
        <f ca="1">IFERROR(__xludf.DUMMYFUNCTION("""COMPUTED_VALUE"""),"María Fernanda Castillo Cuellar")</f>
        <v>María Fernanda Castillo Cuellar</v>
      </c>
      <c r="AO11" s="30"/>
      <c r="AP11" s="30" t="str">
        <f ca="1">IFERROR(__xludf.DUMMYFUNCTION("""COMPUTED_VALUE"""),"Mitra Mahin Abram")</f>
        <v>Mitra Mahin Abram</v>
      </c>
      <c r="AQ11" s="30"/>
      <c r="AR11" s="30" t="str">
        <f ca="1">IFERROR(__xludf.DUMMYFUNCTION("""COMPUTED_VALUE"""),"Maxime Gabin Dinard-Maucoeur")</f>
        <v>Maxime Gabin Dinard-Maucoeur</v>
      </c>
      <c r="AS11" s="30" t="str">
        <f ca="1">IFERROR(__xludf.DUMMYFUNCTION("""COMPUTED_VALUE"""),"Fabiana Román Pérez")</f>
        <v>Fabiana Román Pérez</v>
      </c>
      <c r="AT11" s="30" t="str">
        <f ca="1">IFERROR(__xludf.DUMMYFUNCTION("""COMPUTED_VALUE"""),"Mariana Jiménez Cerdas")</f>
        <v>Mariana Jiménez Cerdas</v>
      </c>
      <c r="AU11" s="30" t="str">
        <f ca="1">IFERROR(__xludf.DUMMYFUNCTION("""COMPUTED_VALUE"""),"Ella Sophia Shaw")</f>
        <v>Ella Sophia Shaw</v>
      </c>
      <c r="AV11" s="30"/>
      <c r="AW11" s="30" t="str">
        <f ca="1">IFERROR(__xludf.DUMMYFUNCTION("""COMPUTED_VALUE"""),"Chimiemena Shekinah Njoku")</f>
        <v>Chimiemena Shekinah Njoku</v>
      </c>
      <c r="AX11" s="27" t="str">
        <f ca="1">IFERROR(__xludf.DUMMYFUNCTION("""COMPUTED_VALUE"""),"Marek Daniel        Barančík")</f>
        <v>Marek Daniel        Barančík</v>
      </c>
      <c r="AY11" s="27" t="str">
        <f ca="1">IFERROR(__xludf.DUMMYFUNCTION("""COMPUTED_VALUE"""),"Ella Sophia	Shaw")</f>
        <v>Ella Sophia	Shaw</v>
      </c>
      <c r="AZ11" s="27" t="str">
        <f ca="1">IFERROR(__xludf.DUMMYFUNCTION("""COMPUTED_VALUE"""),"Herman Dahl	Gaustad")</f>
        <v>Herman Dahl	Gaustad</v>
      </c>
      <c r="BA11" s="27" t="str">
        <f ca="1">IFERROR(__xludf.DUMMYFUNCTION("""COMPUTED_VALUE"""),"Mateo Andrés	BenÍtez Lara")</f>
        <v>Mateo Andrés	BenÍtez Lara</v>
      </c>
      <c r="BB11" s="27" t="str">
        <f ca="1">IFERROR(__xludf.DUMMYFUNCTION("""COMPUTED_VALUE"""),"Teresa	Camarundin Campos")</f>
        <v>Teresa	Camarundin Campos</v>
      </c>
      <c r="BC11" s="27" t="str">
        <f ca="1">IFERROR(__xludf.DUMMYFUNCTION("""COMPUTED_VALUE"""),"Ilia Ivanov	Hristanov")</f>
        <v>Ilia Ivanov	Hristanov</v>
      </c>
      <c r="BD11" s="27" t="str">
        <f ca="1">IFERROR(__xludf.DUMMYFUNCTION("""COMPUTED_VALUE"""),"Eldar	Musayev")</f>
        <v>Eldar	Musayev</v>
      </c>
      <c r="BE11" s="27" t="str">
        <f ca="1">IFERROR(__xludf.DUMMYFUNCTION("""COMPUTED_VALUE"""),"Derick Adolfo	Rivas Delgado")</f>
        <v>Derick Adolfo	Rivas Delgado</v>
      </c>
      <c r="BF11" s="28" t="str">
        <f ca="1">IFERROR(__xludf.DUMMYFUNCTION("""COMPUTED_VALUE"""),"Justin Kiiza	Kwikiriza")</f>
        <v>Justin Kiiza	Kwikiriza</v>
      </c>
      <c r="BG11" s="28" t="str">
        <f ca="1">IFERROR(__xludf.DUMMYFUNCTION("""COMPUTED_VALUE"""),"Jing-U Lin")</f>
        <v>Jing-U Lin</v>
      </c>
      <c r="BH11" s="28" t="str">
        <f ca="1">IFERROR(__xludf.DUMMYFUNCTION("""COMPUTED_VALUE"""),"Chun-Ying Lai")</f>
        <v>Chun-Ying Lai</v>
      </c>
      <c r="BI11" s="28" t="str">
        <f ca="1">IFERROR(__xludf.DUMMYFUNCTION("""COMPUTED_VALUE"""),"Cora Naomi De Silva")</f>
        <v>Cora Naomi De Silva</v>
      </c>
      <c r="BJ11" s="28" t="str">
        <f ca="1">IFERROR(__xludf.DUMMYFUNCTION("""COMPUTED_VALUE"""),"Namtran Thien Tran")</f>
        <v>Namtran Thien Tran</v>
      </c>
      <c r="BK11" s="28" t="str">
        <f ca="1">IFERROR(__xludf.DUMMYFUNCTION("""COMPUTED_VALUE"""),"Noah Daniel Burege")</f>
        <v>Noah Daniel Burege</v>
      </c>
      <c r="BL11" s="28" t="str">
        <f ca="1">IFERROR(__xludf.DUMMYFUNCTION("""COMPUTED_VALUE"""),"Emilie Lisa Francese")</f>
        <v>Emilie Lisa Francese</v>
      </c>
      <c r="BM11" s="28" t="str">
        <f ca="1">IFERROR(__xludf.DUMMYFUNCTION("""COMPUTED_VALUE"""),"Derick Adolfo Rivas Delgado")</f>
        <v>Derick Adolfo Rivas Delgado</v>
      </c>
      <c r="BN11" s="28" t="str">
        <f ca="1">IFERROR(__xludf.DUMMYFUNCTION("""COMPUTED_VALUE"""),"Adrian        Muwonge")</f>
        <v>Adrian        Muwonge</v>
      </c>
      <c r="BO11" s="29" t="str">
        <f ca="1">IFERROR(__xludf.DUMMYFUNCTION("""COMPUTED_VALUE"""),"Mateo Andrés BenÍtez Lara")</f>
        <v>Mateo Andrés BenÍtez Lara</v>
      </c>
      <c r="BP11" s="29" t="str">
        <f ca="1">IFERROR(__xludf.DUMMYFUNCTION("""COMPUTED_VALUE"""),"Charles Michael	Kaikai")</f>
        <v>Charles Michael	Kaikai</v>
      </c>
      <c r="BQ11" s="29" t="str">
        <f ca="1">IFERROR(__xludf.DUMMYFUNCTION("""COMPUTED_VALUE"""),"Justin Kiiza	Kwikiriza")</f>
        <v>Justin Kiiza	Kwikiriza</v>
      </c>
      <c r="BR11" s="29" t="str">
        <f ca="1">IFERROR(__xludf.DUMMYFUNCTION("""COMPUTED_VALUE"""),"Chimme Pema	Selden")</f>
        <v>Chimme Pema	Selden</v>
      </c>
      <c r="BS11" s="29" t="str">
        <f ca="1">IFERROR(__xludf.DUMMYFUNCTION("""COMPUTED_VALUE"""),"Derick Adolfo	Rivas Delgado")</f>
        <v>Derick Adolfo	Rivas Delgado</v>
      </c>
      <c r="BT11" s="29" t="str">
        <f ca="1">IFERROR(__xludf.DUMMYFUNCTION("""COMPUTED_VALUE"""),"Maša	Pašić")</f>
        <v>Maša	Pašić</v>
      </c>
      <c r="BU11" s="30" t="str">
        <f ca="1">IFERROR(__xludf.DUMMYFUNCTION("""COMPUTED_VALUE"""),"Emilie Lisa	Francese")</f>
        <v>Emilie Lisa	Francese</v>
      </c>
      <c r="BV11" s="30" t="str">
        <f ca="1">IFERROR(__xludf.DUMMYFUNCTION("""COMPUTED_VALUE"""),"Emilie Lisa	Francese")</f>
        <v>Emilie Lisa	Francese</v>
      </c>
      <c r="BW11" s="30" t="str">
        <f ca="1">IFERROR(__xludf.DUMMYFUNCTION("""COMPUTED_VALUE"""),"Herman Dahl	Gaustad")</f>
        <v>Herman Dahl	Gaustad</v>
      </c>
      <c r="BX11" s="30" t="str">
        <f ca="1">IFERROR(__xludf.DUMMYFUNCTION("""COMPUTED_VALUE"""),"Ella Sophia	Shaw")</f>
        <v>Ella Sophia	Shaw</v>
      </c>
      <c r="BY11" s="30" t="str">
        <f ca="1">IFERROR(__xludf.DUMMYFUNCTION("""COMPUTED_VALUE"""),"Layla Malia	Khubchandani")</f>
        <v>Layla Malia	Khubchandani</v>
      </c>
      <c r="BZ11" s="30" t="str">
        <f ca="1">IFERROR(__xludf.DUMMYFUNCTION("""COMPUTED_VALUE"""),"Ilia Ivanov	Hristanov")</f>
        <v>Ilia Ivanov	Hristanov</v>
      </c>
      <c r="CA11" s="30" t="str">
        <f ca="1">IFERROR(__xludf.DUMMYFUNCTION("""COMPUTED_VALUE"""),"Luis Fernando	Rueda Matute")</f>
        <v>Luis Fernando	Rueda Matute</v>
      </c>
      <c r="CB11" s="31"/>
      <c r="CC11" s="31"/>
      <c r="CD11" s="31"/>
      <c r="CE11" s="31"/>
      <c r="CF11" s="31"/>
      <c r="CG11" s="31"/>
      <c r="CH11" s="31"/>
      <c r="CI11" s="31"/>
      <c r="CJ11" s="31"/>
      <c r="CK11" s="31"/>
    </row>
    <row r="12" spans="1:89" x14ac:dyDescent="0.2">
      <c r="A12" s="32">
        <f ca="1">IFERROR(__xludf.DUMMYFUNCTION("""COMPUTED_VALUE"""),5)</f>
        <v>5</v>
      </c>
      <c r="B12" s="27" t="str">
        <f ca="1">IFERROR(__xludf.DUMMYFUNCTION("""COMPUTED_VALUE"""),"Glynnes Enidt	Brett Ortiz")</f>
        <v>Glynnes Enidt	Brett Ortiz</v>
      </c>
      <c r="C12" s="27" t="str">
        <f ca="1">IFERROR(__xludf.DUMMYFUNCTION("""COMPUTED_VALUE"""),"Laila Emmanuelle Thorburn	Chen")</f>
        <v>Laila Emmanuelle Thorburn	Chen</v>
      </c>
      <c r="D12" s="27"/>
      <c r="E12" s="27" t="str">
        <f ca="1">IFERROR(__xludf.DUMMYFUNCTION("""COMPUTED_VALUE"""),"Maša	Pašić")</f>
        <v>Maša	Pašić</v>
      </c>
      <c r="F12" s="27" t="str">
        <f ca="1">IFERROR(__xludf.DUMMYFUNCTION("""COMPUTED_VALUE"""),"Jasmine Feliz	Tielenius Kruythoff")</f>
        <v>Jasmine Feliz	Tielenius Kruythoff</v>
      </c>
      <c r="G12" s="27" t="str">
        <f ca="1">IFERROR(__xludf.DUMMYFUNCTION("""COMPUTED_VALUE"""),"Zoey Briseida	Macias Garcia")</f>
        <v>Zoey Briseida	Macias Garcia</v>
      </c>
      <c r="H12" s="27"/>
      <c r="I12" s="27" t="str">
        <f ca="1">IFERROR(__xludf.DUMMYFUNCTION("""COMPUTED_VALUE"""),"Luis Fernando	Rueda Matute")</f>
        <v>Luis Fernando	Rueda Matute</v>
      </c>
      <c r="J12" s="27"/>
      <c r="K12" s="27" t="str">
        <f ca="1">IFERROR(__xludf.DUMMYFUNCTION("""COMPUTED_VALUE"""),"Eva	Movchan")</f>
        <v>Eva	Movchan</v>
      </c>
      <c r="L12" s="27"/>
      <c r="M12" s="27"/>
      <c r="N12" s="28" t="str">
        <f ca="1">IFERROR(__xludf.DUMMYFUNCTION("""COMPUTED_VALUE"""),"Olivia Sayaka Bates Persson")</f>
        <v>Olivia Sayaka Bates Persson</v>
      </c>
      <c r="O12" s="28" t="str">
        <f ca="1">IFERROR(__xludf.DUMMYFUNCTION("""COMPUTED_VALUE"""),"Louise Dalstrøm Thoma")</f>
        <v>Louise Dalstrøm Thoma</v>
      </c>
      <c r="P12" s="28"/>
      <c r="Q12" s="28" t="str">
        <f ca="1">IFERROR(__xludf.DUMMYFUNCTION("""COMPUTED_VALUE"""),"Jing-U Lin")</f>
        <v>Jing-U Lin</v>
      </c>
      <c r="R12" s="28"/>
      <c r="S12" s="28" t="str">
        <f ca="1">IFERROR(__xludf.DUMMYFUNCTION("""COMPUTED_VALUE"""),"En-Ting Chen Chen")</f>
        <v>En-Ting Chen Chen</v>
      </c>
      <c r="T12" s="28"/>
      <c r="U12" s="28" t="str">
        <f ca="1">IFERROR(__xludf.DUMMYFUNCTION("""COMPUTED_VALUE"""),"Rebecca Signoretti")</f>
        <v>Rebecca Signoretti</v>
      </c>
      <c r="V12" s="28"/>
      <c r="W12" s="28"/>
      <c r="X12" s="28" t="str">
        <f ca="1">IFERROR(__xludf.DUMMYFUNCTION("""COMPUTED_VALUE"""),"Matei Daniel Ghitoiu")</f>
        <v>Matei Daniel Ghitoiu</v>
      </c>
      <c r="Y12" s="28"/>
      <c r="Z12" s="29" t="str">
        <f ca="1">IFERROR(__xludf.DUMMYFUNCTION("""COMPUTED_VALUE"""),"Darina Charlotte	Seumenicht")</f>
        <v>Darina Charlotte	Seumenicht</v>
      </c>
      <c r="AA12" s="29"/>
      <c r="AB12" s="29"/>
      <c r="AC12" s="29"/>
      <c r="AD12" s="29" t="str">
        <f ca="1">IFERROR(__xludf.DUMMYFUNCTION("""COMPUTED_VALUE"""),"Justin Kiiza	Kwikiriza")</f>
        <v>Justin Kiiza	Kwikiriza</v>
      </c>
      <c r="AE12" s="29"/>
      <c r="AF12" s="29" t="str">
        <f ca="1">IFERROR(__xludf.DUMMYFUNCTION("""COMPUTED_VALUE"""),"Halia Farran	Souweine")</f>
        <v>Halia Farran	Souweine</v>
      </c>
      <c r="AG12" s="29"/>
      <c r="AH12" s="29" t="str">
        <f ca="1">IFERROR(__xludf.DUMMYFUNCTION("""COMPUTED_VALUE"""),"Theope Selene	Kassimati Agiorgiti")</f>
        <v>Theope Selene	Kassimati Agiorgiti</v>
      </c>
      <c r="AI12" s="29" t="str">
        <f ca="1">IFERROR(__xludf.DUMMYFUNCTION("""COMPUTED_VALUE"""),"Nala Jasmina	Norsworthy")</f>
        <v>Nala Jasmina	Norsworthy</v>
      </c>
      <c r="AJ12" s="29"/>
      <c r="AK12" s="29" t="str">
        <f ca="1">IFERROR(__xludf.DUMMYFUNCTION("""COMPUTED_VALUE"""),"Maria Panagiota	Kaoudi")</f>
        <v>Maria Panagiota	Kaoudi</v>
      </c>
      <c r="AL12" s="29"/>
      <c r="AM12" s="29" t="str">
        <f ca="1">IFERROR(__xludf.DUMMYFUNCTION("""COMPUTED_VALUE"""),"Daniel Marcelo	Vargas Mata")</f>
        <v>Daniel Marcelo	Vargas Mata</v>
      </c>
      <c r="AN12" s="30" t="str">
        <f ca="1">IFERROR(__xludf.DUMMYFUNCTION("""COMPUTED_VALUE"""),"Mpundu Hervé Impano")</f>
        <v>Mpundu Hervé Impano</v>
      </c>
      <c r="AO12" s="30"/>
      <c r="AP12" s="30" t="str">
        <f ca="1">IFERROR(__xludf.DUMMYFUNCTION("""COMPUTED_VALUE"""),"Nika Fransis")</f>
        <v>Nika Fransis</v>
      </c>
      <c r="AQ12" s="30"/>
      <c r="AR12" s="30" t="str">
        <f ca="1">IFERROR(__xludf.DUMMYFUNCTION("""COMPUTED_VALUE"""),"Selma Medog Gedon")</f>
        <v>Selma Medog Gedon</v>
      </c>
      <c r="AS12" s="30" t="str">
        <f ca="1">IFERROR(__xludf.DUMMYFUNCTION("""COMPUTED_VALUE"""),"Justin Kiiza Kwikiriza")</f>
        <v>Justin Kiiza Kwikiriza</v>
      </c>
      <c r="AT12" s="30" t="str">
        <f ca="1">IFERROR(__xludf.DUMMYFUNCTION("""COMPUTED_VALUE"""),"Maša Pašić")</f>
        <v>Maša Pašić</v>
      </c>
      <c r="AU12" s="30" t="str">
        <f ca="1">IFERROR(__xludf.DUMMYFUNCTION("""COMPUTED_VALUE"""),"Halia Farran Souweine")</f>
        <v>Halia Farran Souweine</v>
      </c>
      <c r="AV12" s="30"/>
      <c r="AW12" s="30" t="str">
        <f ca="1">IFERROR(__xludf.DUMMYFUNCTION("""COMPUTED_VALUE"""),"En-Ting Chen")</f>
        <v>En-Ting Chen</v>
      </c>
      <c r="AX12" s="27" t="str">
        <f ca="1">IFERROR(__xludf.DUMMYFUNCTION("""COMPUTED_VALUE"""),"Maria Panagiota        Kaoudi")</f>
        <v>Maria Panagiota        Kaoudi</v>
      </c>
      <c r="AY12" s="27" t="str">
        <f ca="1">IFERROR(__xludf.DUMMYFUNCTION("""COMPUTED_VALUE"""),"Ernesto Horacio	Geymonat Armand Ugon")</f>
        <v>Ernesto Horacio	Geymonat Armand Ugon</v>
      </c>
      <c r="AZ12" s="27" t="str">
        <f ca="1">IFERROR(__xludf.DUMMYFUNCTION("""COMPUTED_VALUE"""),"Eva	Movchan")</f>
        <v>Eva	Movchan</v>
      </c>
      <c r="BA12" s="27" t="str">
        <f ca="1">IFERROR(__xludf.DUMMYFUNCTION("""COMPUTED_VALUE"""),"Natasza Maria	Obrycka")</f>
        <v>Natasza Maria	Obrycka</v>
      </c>
      <c r="BB12" s="27"/>
      <c r="BC12" s="27" t="str">
        <f ca="1">IFERROR(__xludf.DUMMYFUNCTION("""COMPUTED_VALUE"""),"Maria Panagiota	Kaoudi")</f>
        <v>Maria Panagiota	Kaoudi</v>
      </c>
      <c r="BD12" s="27" t="str">
        <f ca="1">IFERROR(__xludf.DUMMYFUNCTION("""COMPUTED_VALUE"""),"Erik	Frýdecký")</f>
        <v>Erik	Frýdecký</v>
      </c>
      <c r="BE12" s="27" t="str">
        <f ca="1">IFERROR(__xludf.DUMMYFUNCTION("""COMPUTED_VALUE"""),"Jasmine Feliz	Tielenius Kruythoff")</f>
        <v>Jasmine Feliz	Tielenius Kruythoff</v>
      </c>
      <c r="BF12" s="28" t="str">
        <f ca="1">IFERROR(__xludf.DUMMYFUNCTION("""COMPUTED_VALUE"""),"Louise Dalstrøm	Thoma")</f>
        <v>Louise Dalstrøm	Thoma</v>
      </c>
      <c r="BG12" s="28" t="str">
        <f ca="1">IFERROR(__xludf.DUMMYFUNCTION("""COMPUTED_VALUE"""),"Kianny Mileska Acosta Ceciliano")</f>
        <v>Kianny Mileska Acosta Ceciliano</v>
      </c>
      <c r="BH12" s="28" t="str">
        <f ca="1">IFERROR(__xludf.DUMMYFUNCTION("""COMPUTED_VALUE"""),"Eldar Musayev")</f>
        <v>Eldar Musayev</v>
      </c>
      <c r="BI12" s="28" t="str">
        <f ca="1">IFERROR(__xludf.DUMMYFUNCTION("""COMPUTED_VALUE"""),"Darina Charlotte Seumenicht")</f>
        <v>Darina Charlotte Seumenicht</v>
      </c>
      <c r="BJ12" s="28" t="str">
        <f ca="1">IFERROR(__xludf.DUMMYFUNCTION("""COMPUTED_VALUE"""),"Olivia Sayaka Bates Persson")</f>
        <v>Olivia Sayaka Bates Persson</v>
      </c>
      <c r="BK12" s="28" t="str">
        <f ca="1">IFERROR(__xludf.DUMMYFUNCTION("""COMPUTED_VALUE"""),"Sampada Adhikari")</f>
        <v>Sampada Adhikari</v>
      </c>
      <c r="BL12" s="28" t="str">
        <f ca="1">IFERROR(__xludf.DUMMYFUNCTION("""COMPUTED_VALUE"""),"Matei Daniel Ghitoiu")</f>
        <v>Matei Daniel Ghitoiu</v>
      </c>
      <c r="BM12" s="28" t="str">
        <f ca="1">IFERROR(__xludf.DUMMYFUNCTION("""COMPUTED_VALUE"""),"Ernesto Horacio Geymonat Armand Ugon")</f>
        <v>Ernesto Horacio Geymonat Armand Ugon</v>
      </c>
      <c r="BN12" s="28" t="str">
        <f ca="1">IFERROR(__xludf.DUMMYFUNCTION("""COMPUTED_VALUE"""),"Bastiaan Marc Scheurwater")</f>
        <v>Bastiaan Marc Scheurwater</v>
      </c>
      <c r="BO12" s="29" t="str">
        <f ca="1">IFERROR(__xludf.DUMMYFUNCTION("""COMPUTED_VALUE"""),"Oslin Smith Irigoyen Alvarado")</f>
        <v>Oslin Smith Irigoyen Alvarado</v>
      </c>
      <c r="BP12" s="29" t="str">
        <f ca="1">IFERROR(__xludf.DUMMYFUNCTION("""COMPUTED_VALUE"""),"Chimiemena Shekinah	Njoku")</f>
        <v>Chimiemena Shekinah	Njoku</v>
      </c>
      <c r="BQ12" s="29" t="str">
        <f ca="1">IFERROR(__xludf.DUMMYFUNCTION("""COMPUTED_VALUE"""),"Louise Dalstrøm	Thoma")</f>
        <v>Louise Dalstrøm	Thoma</v>
      </c>
      <c r="BR12" s="29" t="str">
        <f ca="1">IFERROR(__xludf.DUMMYFUNCTION("""COMPUTED_VALUE"""),"Coco Tresca	Hyslop")</f>
        <v>Coco Tresca	Hyslop</v>
      </c>
      <c r="BS12" s="29" t="str">
        <f ca="1">IFERROR(__xludf.DUMMYFUNCTION("""COMPUTED_VALUE"""),"Ernesto Horacio	Geymonat Armand Ugon")</f>
        <v>Ernesto Horacio	Geymonat Armand Ugon</v>
      </c>
      <c r="BT12" s="29" t="str">
        <f ca="1">IFERROR(__xludf.DUMMYFUNCTION("""COMPUTED_VALUE"""),"Mpundu Hervé	Impano")</f>
        <v>Mpundu Hervé	Impano</v>
      </c>
      <c r="BU12" s="30" t="str">
        <f ca="1">IFERROR(__xludf.DUMMYFUNCTION("""COMPUTED_VALUE"""),"Erik	Frýdecký")</f>
        <v>Erik	Frýdecký</v>
      </c>
      <c r="BV12" s="30" t="str">
        <f ca="1">IFERROR(__xludf.DUMMYFUNCTION("""COMPUTED_VALUE"""),"Ernesto Horacio	Geymonat Armand Ugon")</f>
        <v>Ernesto Horacio	Geymonat Armand Ugon</v>
      </c>
      <c r="BW12" s="30" t="str">
        <f ca="1">IFERROR(__xludf.DUMMYFUNCTION("""COMPUTED_VALUE"""),"Louise Dalstrøm	Thoma")</f>
        <v>Louise Dalstrøm	Thoma</v>
      </c>
      <c r="BX12" s="30" t="str">
        <f ca="1">IFERROR(__xludf.DUMMYFUNCTION("""COMPUTED_VALUE"""),"Erik	Frýdecký")</f>
        <v>Erik	Frýdecký</v>
      </c>
      <c r="BY12" s="30" t="str">
        <f ca="1">IFERROR(__xludf.DUMMYFUNCTION("""COMPUTED_VALUE"""),"Adrianna Auma Vuhya	Mbagaya")</f>
        <v>Adrianna Auma Vuhya	Mbagaya</v>
      </c>
      <c r="BZ12" s="30" t="str">
        <f ca="1">IFERROR(__xludf.DUMMYFUNCTION("""COMPUTED_VALUE"""),"Laila Emmanuelle Thorburn	Chen")</f>
        <v>Laila Emmanuelle Thorburn	Chen</v>
      </c>
      <c r="CA12" s="30" t="str">
        <f ca="1">IFERROR(__xludf.DUMMYFUNCTION("""COMPUTED_VALUE"""),"Maša	Pašić")</f>
        <v>Maša	Pašić</v>
      </c>
      <c r="CB12" s="31"/>
      <c r="CC12" s="31"/>
      <c r="CD12" s="31"/>
      <c r="CE12" s="31"/>
      <c r="CF12" s="31"/>
      <c r="CG12" s="31"/>
      <c r="CH12" s="31"/>
      <c r="CI12" s="31"/>
      <c r="CJ12" s="31"/>
      <c r="CK12" s="31"/>
    </row>
    <row r="13" spans="1:89" x14ac:dyDescent="0.2">
      <c r="A13" s="32">
        <f ca="1">IFERROR(__xludf.DUMMYFUNCTION("""COMPUTED_VALUE"""),6)</f>
        <v>6</v>
      </c>
      <c r="B13" s="34" t="str">
        <f ca="1">IFERROR(__xludf.DUMMYFUNCTION("""COMPUTED_VALUE"""),"Katalina	Segura Alfaro")</f>
        <v>Katalina	Segura Alfaro</v>
      </c>
      <c r="C13" s="27" t="str">
        <f ca="1">IFERROR(__xludf.DUMMYFUNCTION("""COMPUTED_VALUE"""),"Namtran Thien	Tran")</f>
        <v>Namtran Thien	Tran</v>
      </c>
      <c r="D13" s="27"/>
      <c r="E13" s="27" t="str">
        <f ca="1">IFERROR(__xludf.DUMMYFUNCTION("""COMPUTED_VALUE"""),"Sampada	Adhikari")</f>
        <v>Sampada	Adhikari</v>
      </c>
      <c r="F13" s="27" t="str">
        <f ca="1">IFERROR(__xludf.DUMMYFUNCTION("""COMPUTED_VALUE"""),"Louise Dalstrøm	Thoma")</f>
        <v>Louise Dalstrøm	Thoma</v>
      </c>
      <c r="G13" s="27" t="str">
        <f ca="1">IFERROR(__xludf.DUMMYFUNCTION("""COMPUTED_VALUE"""),"Layla Malia Khubchandani")</f>
        <v>Layla Malia Khubchandani</v>
      </c>
      <c r="H13" s="27"/>
      <c r="I13" s="27" t="str">
        <f ca="1">IFERROR(__xludf.DUMMYFUNCTION("""COMPUTED_VALUE"""),"Maria José	Candelas Vargas")</f>
        <v>Maria José	Candelas Vargas</v>
      </c>
      <c r="J13" s="27"/>
      <c r="K13" s="27" t="str">
        <f ca="1">IFERROR(__xludf.DUMMYFUNCTION("""COMPUTED_VALUE"""),"Hanifah	Zahidah")</f>
        <v>Hanifah	Zahidah</v>
      </c>
      <c r="L13" s="27"/>
      <c r="M13" s="27"/>
      <c r="N13" s="28" t="str">
        <f ca="1">IFERROR(__xludf.DUMMYFUNCTION("""COMPUTED_VALUE"""),"Rosa Elizabeth Balaguer Davis")</f>
        <v>Rosa Elizabeth Balaguer Davis</v>
      </c>
      <c r="O13" s="28" t="str">
        <f ca="1">IFERROR(__xludf.DUMMYFUNCTION("""COMPUTED_VALUE"""),"Nicola Chebet Sabula")</f>
        <v>Nicola Chebet Sabula</v>
      </c>
      <c r="P13" s="28"/>
      <c r="Q13" s="28" t="str">
        <f ca="1">IFERROR(__xludf.DUMMYFUNCTION("""COMPUTED_VALUE"""),"Justin Kiiza Kwikiriza")</f>
        <v>Justin Kiiza Kwikiriza</v>
      </c>
      <c r="R13" s="28"/>
      <c r="S13" s="28" t="str">
        <f ca="1">IFERROR(__xludf.DUMMYFUNCTION("""COMPUTED_VALUE"""),"Erik Frýdecký")</f>
        <v>Erik Frýdecký</v>
      </c>
      <c r="T13" s="28"/>
      <c r="U13" s="28" t="str">
        <f ca="1">IFERROR(__xludf.DUMMYFUNCTION("""COMPUTED_VALUE"""),"Theope Selene Kassimati Agiorgiti")</f>
        <v>Theope Selene Kassimati Agiorgiti</v>
      </c>
      <c r="V13" s="28"/>
      <c r="W13" s="28"/>
      <c r="X13" s="28" t="str">
        <f ca="1">IFERROR(__xludf.DUMMYFUNCTION("""COMPUTED_VALUE"""),"Mateo Andrés BenÍtez Lara")</f>
        <v>Mateo Andrés BenÍtez Lara</v>
      </c>
      <c r="Y13" s="28"/>
      <c r="Z13" s="29" t="str">
        <f ca="1">IFERROR(__xludf.DUMMYFUNCTION("""COMPUTED_VALUE"""),"Eldar Musayev")</f>
        <v>Eldar Musayev</v>
      </c>
      <c r="AA13" s="29"/>
      <c r="AB13" s="29"/>
      <c r="AC13" s="29"/>
      <c r="AD13" s="29" t="str">
        <f ca="1">IFERROR(__xludf.DUMMYFUNCTION("""COMPUTED_VALUE"""),"Maria Fernanda	Castillo Cuellar")</f>
        <v>Maria Fernanda	Castillo Cuellar</v>
      </c>
      <c r="AE13" s="29"/>
      <c r="AF13" s="29" t="str">
        <f ca="1">IFERROR(__xludf.DUMMYFUNCTION("""COMPUTED_VALUE"""),"Laila Emmanuelle Thorburn	Chen")</f>
        <v>Laila Emmanuelle Thorburn	Chen</v>
      </c>
      <c r="AG13" s="29"/>
      <c r="AH13" s="29"/>
      <c r="AI13" s="29" t="str">
        <f ca="1">IFERROR(__xludf.DUMMYFUNCTION("""COMPUTED_VALUE"""),"Rosa Elizabeth Balaguer	Davis")</f>
        <v>Rosa Elizabeth Balaguer	Davis</v>
      </c>
      <c r="AJ13" s="29"/>
      <c r="AK13" s="29" t="str">
        <f ca="1">IFERROR(__xludf.DUMMYFUNCTION("""COMPUTED_VALUE"""),"Sebastián Roberto	Sánchez Obregón")</f>
        <v>Sebastián Roberto	Sánchez Obregón</v>
      </c>
      <c r="AL13" s="29"/>
      <c r="AM13" s="29" t="str">
        <f ca="1">IFERROR(__xludf.DUMMYFUNCTION("""COMPUTED_VALUE"""),"Edit	Csernus")</f>
        <v>Edit	Csernus</v>
      </c>
      <c r="AN13" s="30" t="str">
        <f ca="1">IFERROR(__xludf.DUMMYFUNCTION("""COMPUTED_VALUE"""),"Sofía Pagan Ortigas")</f>
        <v>Sofía Pagan Ortigas</v>
      </c>
      <c r="AO13" s="30"/>
      <c r="AP13" s="30" t="str">
        <f ca="1">IFERROR(__xludf.DUMMYFUNCTION("""COMPUTED_VALUE"""),"Sheena Wangumo Wanyoro")</f>
        <v>Sheena Wangumo Wanyoro</v>
      </c>
      <c r="AQ13" s="30"/>
      <c r="AR13" s="30"/>
      <c r="AS13" s="30" t="str">
        <f ca="1">IFERROR(__xludf.DUMMYFUNCTION("""COMPUTED_VALUE"""),"Laila Emmanuelle Thorburn Chen")</f>
        <v>Laila Emmanuelle Thorburn Chen</v>
      </c>
      <c r="AT13" s="30"/>
      <c r="AU13" s="30" t="str">
        <f ca="1">IFERROR(__xludf.DUMMYFUNCTION("""COMPUTED_VALUE"""),"Nala Jasmina Norsworthy")</f>
        <v>Nala Jasmina Norsworthy</v>
      </c>
      <c r="AV13" s="30"/>
      <c r="AW13" s="30" t="str">
        <f ca="1">IFERROR(__xludf.DUMMYFUNCTION("""COMPUTED_VALUE"""),"Louise Dalstrøm Thoma")</f>
        <v>Louise Dalstrøm Thoma</v>
      </c>
      <c r="AX13" s="27" t="str">
        <f ca="1">IFERROR(__xludf.DUMMYFUNCTION("""COMPUTED_VALUE"""),"Oslin Smith        Irigoyen Alvarado")</f>
        <v>Oslin Smith        Irigoyen Alvarado</v>
      </c>
      <c r="AY13" s="27" t="str">
        <f ca="1">IFERROR(__xludf.DUMMYFUNCTION("""COMPUTED_VALUE"""),"Javier	Fuentes Hermoso")</f>
        <v>Javier	Fuentes Hermoso</v>
      </c>
      <c r="AZ13" s="27" t="str">
        <f ca="1">IFERROR(__xludf.DUMMYFUNCTION("""COMPUTED_VALUE"""),"Laila Emmanuelle Thorburn	Chen")</f>
        <v>Laila Emmanuelle Thorburn	Chen</v>
      </c>
      <c r="BA13" s="27" t="str">
        <f ca="1">IFERROR(__xludf.DUMMYFUNCTION("""COMPUTED_VALUE"""),"Rudy Eduardo	Siguan Ixcal")</f>
        <v>Rudy Eduardo	Siguan Ixcal</v>
      </c>
      <c r="BB13" s="27"/>
      <c r="BC13" s="27" t="str">
        <f ca="1">IFERROR(__xludf.DUMMYFUNCTION("""COMPUTED_VALUE"""),"Sonam	Jourden")</f>
        <v>Sonam	Jourden</v>
      </c>
      <c r="BD13" s="27" t="str">
        <f ca="1">IFERROR(__xludf.DUMMYFUNCTION("""COMPUTED_VALUE"""),"Fabiana	Román Pérez")</f>
        <v>Fabiana	Román Pérez</v>
      </c>
      <c r="BE13" s="27" t="str">
        <f ca="1">IFERROR(__xludf.DUMMYFUNCTION("""COMPUTED_VALUE"""),"Katalina	Segura Alfaro")</f>
        <v>Katalina	Segura Alfaro</v>
      </c>
      <c r="BF13" s="28" t="str">
        <f ca="1">IFERROR(__xludf.DUMMYFUNCTION("""COMPUTED_VALUE"""),"Marek Daniel	Barančík")</f>
        <v>Marek Daniel	Barančík</v>
      </c>
      <c r="BG13" s="28" t="str">
        <f ca="1">IFERROR(__xludf.DUMMYFUNCTION("""COMPUTED_VALUE"""),"Laila Emmanuelle Thorburn Chen")</f>
        <v>Laila Emmanuelle Thorburn Chen</v>
      </c>
      <c r="BH13" s="28" t="str">
        <f ca="1">IFERROR(__xludf.DUMMYFUNCTION("""COMPUTED_VALUE"""),"Elliot Friedrich")</f>
        <v>Elliot Friedrich</v>
      </c>
      <c r="BI13" s="28" t="str">
        <f ca="1">IFERROR(__xludf.DUMMYFUNCTION("""COMPUTED_VALUE"""),"Edit Csernus")</f>
        <v>Edit Csernus</v>
      </c>
      <c r="BJ13" s="28" t="str">
        <f ca="1">IFERROR(__xludf.DUMMYFUNCTION("""COMPUTED_VALUE"""),"Rebecca Signoretti")</f>
        <v>Rebecca Signoretti</v>
      </c>
      <c r="BK13" s="28" t="str">
        <f ca="1">IFERROR(__xludf.DUMMYFUNCTION("""COMPUTED_VALUE"""),"Sonam Jourden")</f>
        <v>Sonam Jourden</v>
      </c>
      <c r="BL13" s="28" t="str">
        <f ca="1">IFERROR(__xludf.DUMMYFUNCTION("""COMPUTED_VALUE"""),"Maxime Gabin Dinard-Maucoeur")</f>
        <v>Maxime Gabin Dinard-Maucoeur</v>
      </c>
      <c r="BM13" s="28" t="str">
        <f ca="1">IFERROR(__xludf.DUMMYFUNCTION("""COMPUTED_VALUE"""),"Fiorella Jazmin Melgarejo Esquivel")</f>
        <v>Fiorella Jazmin Melgarejo Esquivel</v>
      </c>
      <c r="BN13" s="28" t="str">
        <f ca="1">IFERROR(__xludf.DUMMYFUNCTION("""COMPUTED_VALUE"""),"Ella Sophia Shaw")</f>
        <v>Ella Sophia Shaw</v>
      </c>
      <c r="BO13" s="29" t="str">
        <f ca="1">IFERROR(__xludf.DUMMYFUNCTION("""COMPUTED_VALUE"""),"Rudy Eduardo Siguan Ixcal")</f>
        <v>Rudy Eduardo Siguan Ixcal</v>
      </c>
      <c r="BP13" s="29" t="str">
        <f ca="1">IFERROR(__xludf.DUMMYFUNCTION("""COMPUTED_VALUE"""),"Eva	Movchan")</f>
        <v>Eva	Movchan</v>
      </c>
      <c r="BQ13" s="29" t="str">
        <f ca="1">IFERROR(__xludf.DUMMYFUNCTION("""COMPUTED_VALUE"""),"Olivia Sayaka Bates	Persson")</f>
        <v>Olivia Sayaka Bates	Persson</v>
      </c>
      <c r="BR13" s="29" t="str">
        <f ca="1">IFERROR(__xludf.DUMMYFUNCTION("""COMPUTED_VALUE"""),"Ella Sophia	Shaw")</f>
        <v>Ella Sophia	Shaw</v>
      </c>
      <c r="BS13" s="29" t="str">
        <f ca="1">IFERROR(__xludf.DUMMYFUNCTION("""COMPUTED_VALUE"""),"Fabiana	Román Pérez")</f>
        <v>Fabiana	Román Pérez</v>
      </c>
      <c r="BT13" s="29" t="str">
        <f ca="1">IFERROR(__xludf.DUMMYFUNCTION("""COMPUTED_VALUE"""),"Nala Jasmina	Norsworthy")</f>
        <v>Nala Jasmina	Norsworthy</v>
      </c>
      <c r="BU13" s="30" t="str">
        <f ca="1">IFERROR(__xludf.DUMMYFUNCTION("""COMPUTED_VALUE"""),"Jase	Baidya")</f>
        <v>Jase	Baidya</v>
      </c>
      <c r="BV13" s="30" t="str">
        <f ca="1">IFERROR(__xludf.DUMMYFUNCTION("""COMPUTED_VALUE"""),"Hanifah	Zahidah")</f>
        <v>Hanifah	Zahidah</v>
      </c>
      <c r="BW13" s="30" t="str">
        <f ca="1">IFERROR(__xludf.DUMMYFUNCTION("""COMPUTED_VALUE"""),"Maria Panagiota	Kaoudi")</f>
        <v>Maria Panagiota	Kaoudi</v>
      </c>
      <c r="BX13" s="30" t="str">
        <f ca="1">IFERROR(__xludf.DUMMYFUNCTION("""COMPUTED_VALUE"""),"Fiorella Jazmin	Melgarejo Esquivel")</f>
        <v>Fiorella Jazmin	Melgarejo Esquivel</v>
      </c>
      <c r="BY13" s="30" t="str">
        <f ca="1">IFERROR(__xludf.DUMMYFUNCTION("""COMPUTED_VALUE"""),"Alexander Kuntz 	Kristiansen")</f>
        <v>Alexander Kuntz 	Kristiansen</v>
      </c>
      <c r="BZ13" s="30" t="str">
        <f ca="1">IFERROR(__xludf.DUMMYFUNCTION("""COMPUTED_VALUE"""),"Nika	Fransis")</f>
        <v>Nika	Fransis</v>
      </c>
      <c r="CA13" s="30" t="str">
        <f ca="1">IFERROR(__xludf.DUMMYFUNCTION("""COMPUTED_VALUE"""),"Roxane	Husain")</f>
        <v>Roxane	Husain</v>
      </c>
      <c r="CB13" s="31"/>
      <c r="CC13" s="31"/>
      <c r="CD13" s="31"/>
      <c r="CE13" s="31"/>
      <c r="CF13" s="31"/>
      <c r="CG13" s="31"/>
      <c r="CH13" s="31"/>
      <c r="CI13" s="31"/>
      <c r="CJ13" s="31"/>
      <c r="CK13" s="31"/>
    </row>
    <row r="14" spans="1:89" x14ac:dyDescent="0.2">
      <c r="A14" s="32">
        <f ca="1">IFERROR(__xludf.DUMMYFUNCTION("""COMPUTED_VALUE"""),7)</f>
        <v>7</v>
      </c>
      <c r="B14" s="27" t="str">
        <f ca="1">IFERROR(__xludf.DUMMYFUNCTION("""COMPUTED_VALUE"""),"Kianny Mileska	Acosta Ceciliano")</f>
        <v>Kianny Mileska	Acosta Ceciliano</v>
      </c>
      <c r="C14" s="27"/>
      <c r="D14" s="27"/>
      <c r="E14" s="27" t="str">
        <f ca="1">IFERROR(__xludf.DUMMYFUNCTION("""COMPUTED_VALUE"""),"Sophia Jasmine	Binti Shahriman")</f>
        <v>Sophia Jasmine	Binti Shahriman</v>
      </c>
      <c r="F14" s="27" t="str">
        <f ca="1">IFERROR(__xludf.DUMMYFUNCTION("""COMPUTED_VALUE"""),"Luis	Lozano Samper")</f>
        <v>Luis	Lozano Samper</v>
      </c>
      <c r="G14" s="27"/>
      <c r="H14" s="27"/>
      <c r="I14" s="27" t="str">
        <f ca="1">IFERROR(__xludf.DUMMYFUNCTION("""COMPUTED_VALUE"""),"Selma Medog	Gedon")</f>
        <v>Selma Medog	Gedon</v>
      </c>
      <c r="J14" s="27"/>
      <c r="K14" s="27" t="str">
        <f ca="1">IFERROR(__xludf.DUMMYFUNCTION("""COMPUTED_VALUE"""),"Javier	Fuentes Hermoso")</f>
        <v>Javier	Fuentes Hermoso</v>
      </c>
      <c r="L14" s="27"/>
      <c r="M14" s="27"/>
      <c r="N14" s="28" t="str">
        <f ca="1">IFERROR(__xludf.DUMMYFUNCTION("""COMPUTED_VALUE"""),"Benjamín Tomás Esteban Oppenheímer")</f>
        <v>Benjamín Tomás Esteban Oppenheímer</v>
      </c>
      <c r="O14" s="28" t="str">
        <f ca="1">IFERROR(__xludf.DUMMYFUNCTION("""COMPUTED_VALUE"""),"Samuel Grey Villarreal Montoya")</f>
        <v>Samuel Grey Villarreal Montoya</v>
      </c>
      <c r="P14" s="28"/>
      <c r="Q14" s="28" t="str">
        <f ca="1">IFERROR(__xludf.DUMMYFUNCTION("""COMPUTED_VALUE"""),"Katalina Segura Alfaro")</f>
        <v>Katalina Segura Alfaro</v>
      </c>
      <c r="R14" s="28"/>
      <c r="S14" s="28" t="str">
        <f ca="1">IFERROR(__xludf.DUMMYFUNCTION("""COMPUTED_VALUE"""),"Ilia Ivanov Hristanov")</f>
        <v>Ilia Ivanov Hristanov</v>
      </c>
      <c r="T14" s="28"/>
      <c r="U14" s="28" t="str">
        <f ca="1">IFERROR(__xludf.DUMMYFUNCTION("""COMPUTED_VALUE"""),"Zachary Lewis Evans")</f>
        <v>Zachary Lewis Evans</v>
      </c>
      <c r="V14" s="28"/>
      <c r="W14" s="28"/>
      <c r="X14" s="28" t="str">
        <f ca="1">IFERROR(__xludf.DUMMYFUNCTION("""COMPUTED_VALUE"""),"Rudy Eduardo Siguan Ixcal")</f>
        <v>Rudy Eduardo Siguan Ixcal</v>
      </c>
      <c r="Y14" s="28"/>
      <c r="Z14" s="29" t="str">
        <f ca="1">IFERROR(__xludf.DUMMYFUNCTION("""COMPUTED_VALUE"""),"Ella Sophia	Shaw")</f>
        <v>Ella Sophia	Shaw</v>
      </c>
      <c r="AA14" s="29"/>
      <c r="AB14" s="29"/>
      <c r="AC14" s="29"/>
      <c r="AD14" s="29" t="str">
        <f ca="1">IFERROR(__xludf.DUMMYFUNCTION("""COMPUTED_VALUE"""),"Sampada	Adhikari")</f>
        <v>Sampada	Adhikari</v>
      </c>
      <c r="AE14" s="29"/>
      <c r="AF14" s="29" t="str">
        <f ca="1">IFERROR(__xludf.DUMMYFUNCTION("""COMPUTED_VALUE"""),"Lottie Stares	Lewis")</f>
        <v>Lottie Stares	Lewis</v>
      </c>
      <c r="AG14" s="29"/>
      <c r="AH14" s="29"/>
      <c r="AI14" s="29" t="str">
        <f ca="1">IFERROR(__xludf.DUMMYFUNCTION("""COMPUTED_VALUE"""),"Rudy Eduardo	Siguan Ixcal")</f>
        <v>Rudy Eduardo	Siguan Ixcal</v>
      </c>
      <c r="AJ14" s="29"/>
      <c r="AK14" s="29"/>
      <c r="AL14" s="29"/>
      <c r="AM14" s="29" t="str">
        <f ca="1">IFERROR(__xludf.DUMMYFUNCTION("""COMPUTED_VALUE"""),"Eileen Laurie	Hagan")</f>
        <v>Eileen Laurie	Hagan</v>
      </c>
      <c r="AN14" s="30" t="str">
        <f ca="1">IFERROR(__xludf.DUMMYFUNCTION("""COMPUTED_VALUE"""),"Zoey Briseida Macías García")</f>
        <v>Zoey Briseida Macías García</v>
      </c>
      <c r="AO14" s="30"/>
      <c r="AP14" s="30" t="str">
        <f ca="1">IFERROR(__xludf.DUMMYFUNCTION("""COMPUTED_VALUE"""),"Zachary Lewis Evans")</f>
        <v>Zachary Lewis Evans</v>
      </c>
      <c r="AQ14" s="30"/>
      <c r="AR14" s="30"/>
      <c r="AS14" s="30" t="str">
        <f ca="1">IFERROR(__xludf.DUMMYFUNCTION("""COMPUTED_VALUE"""),"Lottie Stares Lewis")</f>
        <v>Lottie Stares Lewis</v>
      </c>
      <c r="AT14" s="30"/>
      <c r="AU14" s="30" t="str">
        <f ca="1">IFERROR(__xludf.DUMMYFUNCTION("""COMPUTED_VALUE"""),"Samuel Grey Villarreal Montoya")</f>
        <v>Samuel Grey Villarreal Montoya</v>
      </c>
      <c r="AV14" s="30"/>
      <c r="AW14" s="30" t="str">
        <f ca="1">IFERROR(__xludf.DUMMYFUNCTION("""COMPUTED_VALUE"""),"María José Candela Vargas")</f>
        <v>María José Candela Vargas</v>
      </c>
      <c r="AX14" s="27" t="str">
        <f ca="1">IFERROR(__xludf.DUMMYFUNCTION("""COMPUTED_VALUE"""),"Rebecca        Signoretti")</f>
        <v>Rebecca        Signoretti</v>
      </c>
      <c r="AY14" s="27" t="str">
        <f ca="1">IFERROR(__xludf.DUMMYFUNCTION("""COMPUTED_VALUE"""),"Laura Camila	Zamora Chamorro")</f>
        <v>Laura Camila	Zamora Chamorro</v>
      </c>
      <c r="AZ14" s="27" t="str">
        <f ca="1">IFERROR(__xludf.DUMMYFUNCTION("""COMPUTED_VALUE"""),"Sragvi Umesh	Bhoyar")</f>
        <v>Sragvi Umesh	Bhoyar</v>
      </c>
      <c r="BA14" s="27" t="str">
        <f ca="1">IFERROR(__xludf.DUMMYFUNCTION("""COMPUTED_VALUE"""),"Sampada	Adhikari")</f>
        <v>Sampada	Adhikari</v>
      </c>
      <c r="BB14" s="27"/>
      <c r="BC14" s="27" t="str">
        <f ca="1">IFERROR(__xludf.DUMMYFUNCTION("""COMPUTED_VALUE"""),"Sophia Jasmine	Binti Shahriman")</f>
        <v>Sophia Jasmine	Binti Shahriman</v>
      </c>
      <c r="BD14" s="27" t="str">
        <f ca="1">IFERROR(__xludf.DUMMYFUNCTION("""COMPUTED_VALUE"""),"Jase	Baidya")</f>
        <v>Jase	Baidya</v>
      </c>
      <c r="BE14" s="27" t="str">
        <f ca="1">IFERROR(__xludf.DUMMYFUNCTION("""COMPUTED_VALUE"""),"Mitra Mahin Abram")</f>
        <v>Mitra Mahin Abram</v>
      </c>
      <c r="BF14" s="28" t="str">
        <f ca="1">IFERROR(__xludf.DUMMYFUNCTION("""COMPUTED_VALUE"""),"Matei Daniel	Ghitoiu")</f>
        <v>Matei Daniel	Ghitoiu</v>
      </c>
      <c r="BG14" s="28" t="str">
        <f ca="1">IFERROR(__xludf.DUMMYFUNCTION("""COMPUTED_VALUE"""),"Selma Medog Gedon")</f>
        <v>Selma Medog Gedon</v>
      </c>
      <c r="BH14" s="28" t="str">
        <f ca="1">IFERROR(__xludf.DUMMYFUNCTION("""COMPUTED_VALUE"""),"Ilia Ivanov Hristanov")</f>
        <v>Ilia Ivanov Hristanov</v>
      </c>
      <c r="BI14" s="28" t="str">
        <f ca="1">IFERROR(__xludf.DUMMYFUNCTION("""COMPUTED_VALUE"""),"Eileen Laurie Hagan")</f>
        <v>Eileen Laurie Hagan</v>
      </c>
      <c r="BJ14" s="28" t="str">
        <f ca="1">IFERROR(__xludf.DUMMYFUNCTION("""COMPUTED_VALUE"""),"Rosa Elizabeth Balaguer Davis")</f>
        <v>Rosa Elizabeth Balaguer Davis</v>
      </c>
      <c r="BK14" s="28" t="str">
        <f ca="1">IFERROR(__xludf.DUMMYFUNCTION("""COMPUTED_VALUE"""),"Sophia Jasmine Binti Shahriman")</f>
        <v>Sophia Jasmine Binti Shahriman</v>
      </c>
      <c r="BL14" s="28" t="str">
        <f ca="1">IFERROR(__xludf.DUMMYFUNCTION("""COMPUTED_VALUE"""),"Nicola Chebet Sabula")</f>
        <v>Nicola Chebet Sabula</v>
      </c>
      <c r="BM14" s="28" t="str">
        <f ca="1">IFERROR(__xludf.DUMMYFUNCTION("""COMPUTED_VALUE"""),"Glynnes Enidt Brett Ortiz")</f>
        <v>Glynnes Enidt Brett Ortiz</v>
      </c>
      <c r="BN14" s="28" t="str">
        <f ca="1">IFERROR(__xludf.DUMMYFUNCTION("""COMPUTED_VALUE"""),"Eoin Chandra O Donaill Zanoni")</f>
        <v>Eoin Chandra O Donaill Zanoni</v>
      </c>
      <c r="BO14" s="29"/>
      <c r="BP14" s="29" t="str">
        <f ca="1">IFERROR(__xludf.DUMMYFUNCTION("""COMPUTED_VALUE"""),"Ilia Ivanov	Hristanov")</f>
        <v>Ilia Ivanov	Hristanov</v>
      </c>
      <c r="BQ14" s="29" t="str">
        <f ca="1">IFERROR(__xludf.DUMMYFUNCTION("""COMPUTED_VALUE"""),"Sheena Wangumo	Wanyoro")</f>
        <v>Sheena Wangumo	Wanyoro</v>
      </c>
      <c r="BR14" s="29" t="str">
        <f ca="1">IFERROR(__xludf.DUMMYFUNCTION("""COMPUTED_VALUE"""),"En-Ting	Chen")</f>
        <v>En-Ting	Chen</v>
      </c>
      <c r="BS14" s="29" t="str">
        <f ca="1">IFERROR(__xludf.DUMMYFUNCTION("""COMPUTED_VALUE"""),"Fiorella Jazmin	Melgarejo Esquivel")</f>
        <v>Fiorella Jazmin	Melgarejo Esquivel</v>
      </c>
      <c r="BT14" s="29" t="str">
        <f ca="1">IFERROR(__xludf.DUMMYFUNCTION("""COMPUTED_VALUE"""),"Namtran Thien	Tran")</f>
        <v>Namtran Thien	Tran</v>
      </c>
      <c r="BU14" s="30" t="str">
        <f ca="1">IFERROR(__xludf.DUMMYFUNCTION("""COMPUTED_VALUE"""),"Jasmine Feliz	Tielenius Kruythoff")</f>
        <v>Jasmine Feliz	Tielenius Kruythoff</v>
      </c>
      <c r="BV14" s="30" t="str">
        <f ca="1">IFERROR(__xludf.DUMMYFUNCTION("""COMPUTED_VALUE"""),"Justin Kiiza	Kwikiriza")</f>
        <v>Justin Kiiza	Kwikiriza</v>
      </c>
      <c r="BW14" s="30" t="str">
        <f ca="1">IFERROR(__xludf.DUMMYFUNCTION("""COMPUTED_VALUE"""),"Matei Daniel	Ghitoiu")</f>
        <v>Matei Daniel	Ghitoiu</v>
      </c>
      <c r="BX14" s="30" t="str">
        <f ca="1">IFERROR(__xludf.DUMMYFUNCTION("""COMPUTED_VALUE"""),"Glynnes Enidt	Brett Ortiz")</f>
        <v>Glynnes Enidt	Brett Ortiz</v>
      </c>
      <c r="BY14" s="30" t="str">
        <f ca="1">IFERROR(__xludf.DUMMYFUNCTION("""COMPUTED_VALUE"""),"Anouk Juulke	Stahl")</f>
        <v>Anouk Juulke	Stahl</v>
      </c>
      <c r="BZ14" s="30" t="str">
        <f ca="1">IFERROR(__xludf.DUMMYFUNCTION("""COMPUTED_VALUE"""),"Noah Daniel	Burege")</f>
        <v>Noah Daniel	Burege</v>
      </c>
      <c r="CA14" s="30" t="str">
        <f ca="1">IFERROR(__xludf.DUMMYFUNCTION("""COMPUTED_VALUE"""),"Jing-U	Lin")</f>
        <v>Jing-U	Lin</v>
      </c>
      <c r="CB14" s="31"/>
      <c r="CC14" s="31"/>
      <c r="CD14" s="31"/>
      <c r="CE14" s="31"/>
      <c r="CF14" s="31"/>
      <c r="CG14" s="31"/>
      <c r="CH14" s="31"/>
      <c r="CI14" s="31"/>
      <c r="CJ14" s="31"/>
      <c r="CK14" s="31"/>
    </row>
    <row r="15" spans="1:89" x14ac:dyDescent="0.2">
      <c r="A15" s="32">
        <f ca="1">IFERROR(__xludf.DUMMYFUNCTION("""COMPUTED_VALUE"""),8)</f>
        <v>8</v>
      </c>
      <c r="B15" s="27" t="str">
        <f ca="1">IFERROR(__xludf.DUMMYFUNCTION("""COMPUTED_VALUE"""),"Maithe Antonia	Gonzalez Concha")</f>
        <v>Maithe Antonia	Gonzalez Concha</v>
      </c>
      <c r="C15" s="27"/>
      <c r="D15" s="27"/>
      <c r="E15" s="27" t="str">
        <f ca="1">IFERROR(__xludf.DUMMYFUNCTION("""COMPUTED_VALUE"""),"Trisha Tushar	Bolinjkar")</f>
        <v>Trisha Tushar	Bolinjkar</v>
      </c>
      <c r="F15" s="27" t="str">
        <f ca="1">IFERROR(__xludf.DUMMYFUNCTION("""COMPUTED_VALUE"""),"Matei Daniel	Ghitoiu")</f>
        <v>Matei Daniel	Ghitoiu</v>
      </c>
      <c r="G15" s="27"/>
      <c r="H15" s="27"/>
      <c r="I15" s="27" t="str">
        <f ca="1">IFERROR(__xludf.DUMMYFUNCTION("""COMPUTED_VALUE"""),"SragviI Umesh Bhoyar")</f>
        <v>SragviI Umesh Bhoyar</v>
      </c>
      <c r="J15" s="27"/>
      <c r="K15" s="27" t="str">
        <f ca="1">IFERROR(__xludf.DUMMYFUNCTION("""COMPUTED_VALUE"""),"Jing-U	Lin")</f>
        <v>Jing-U	Lin</v>
      </c>
      <c r="L15" s="27"/>
      <c r="M15" s="27"/>
      <c r="N15" s="28"/>
      <c r="O15" s="28" t="str">
        <f ca="1">IFERROR(__xludf.DUMMYFUNCTION("""COMPUTED_VALUE"""),"SRAGVI UMESH Bhoyar")</f>
        <v>SRAGVI UMESH Bhoyar</v>
      </c>
      <c r="P15" s="28"/>
      <c r="Q15" s="28" t="str">
        <f ca="1">IFERROR(__xludf.DUMMYFUNCTION("""COMPUTED_VALUE"""),"Kianny Mileska Acosta Ceciliano")</f>
        <v>Kianny Mileska Acosta Ceciliano</v>
      </c>
      <c r="R15" s="28"/>
      <c r="S15" s="28" t="str">
        <f ca="1">IFERROR(__xludf.DUMMYFUNCTION("""COMPUTED_VALUE"""),"Jase Baidya")</f>
        <v>Jase Baidya</v>
      </c>
      <c r="T15" s="28"/>
      <c r="U15" s="28" t="str">
        <f ca="1">IFERROR(__xludf.DUMMYFUNCTION("""COMPUTED_VALUE"""),"Daniel Marcelo Vargas Mata")</f>
        <v>Daniel Marcelo Vargas Mata</v>
      </c>
      <c r="V15" s="28"/>
      <c r="W15" s="28"/>
      <c r="X15" s="28" t="str">
        <f ca="1">IFERROR(__xludf.DUMMYFUNCTION("""COMPUTED_VALUE"""),"Sofía Pagan Ortigas")</f>
        <v>Sofía Pagan Ortigas</v>
      </c>
      <c r="Y15" s="28"/>
      <c r="Z15" s="29" t="str">
        <f ca="1">IFERROR(__xludf.DUMMYFUNCTION("""COMPUTED_VALUE"""),"Katalina	Segura Alfaro")</f>
        <v>Katalina	Segura Alfaro</v>
      </c>
      <c r="AA15" s="29"/>
      <c r="AB15" s="29"/>
      <c r="AC15" s="29"/>
      <c r="AD15" s="29" t="str">
        <f ca="1">IFERROR(__xludf.DUMMYFUNCTION("""COMPUTED_VALUE"""),"Selma Medog	Gedon")</f>
        <v>Selma Medog	Gedon</v>
      </c>
      <c r="AE15" s="29"/>
      <c r="AF15" s="29" t="str">
        <f ca="1">IFERROR(__xludf.DUMMYFUNCTION("""COMPUTED_VALUE"""),"Luis Fernando	Rueda Matute")</f>
        <v>Luis Fernando	Rueda Matute</v>
      </c>
      <c r="AG15" s="29"/>
      <c r="AH15" s="29"/>
      <c r="AI15" s="29" t="str">
        <f ca="1">IFERROR(__xludf.DUMMYFUNCTION("""COMPUTED_VALUE"""),"Sophia Jasmine	Binti Shahriman")</f>
        <v>Sophia Jasmine	Binti Shahriman</v>
      </c>
      <c r="AJ15" s="29"/>
      <c r="AK15" s="29"/>
      <c r="AL15" s="29"/>
      <c r="AM15" s="29" t="str">
        <f ca="1">IFERROR(__xludf.DUMMYFUNCTION("""COMPUTED_VALUE"""),"Eoin Chandra	O Donaill Zanoni")</f>
        <v>Eoin Chandra	O Donaill Zanoni</v>
      </c>
      <c r="AN15" s="30" t="str">
        <f ca="1">IFERROR(__xludf.DUMMYFUNCTION("""COMPUTED_VALUE"""),"Richesse Kadima Tshibangu")</f>
        <v>Richesse Kadima Tshibangu</v>
      </c>
      <c r="AO15" s="30"/>
      <c r="AP15" s="30" t="str">
        <f ca="1">IFERROR(__xludf.DUMMYFUNCTION("""COMPUTED_VALUE"""),"Ernesto Horacio Geymonat Armand Ugon")</f>
        <v>Ernesto Horacio Geymonat Armand Ugon</v>
      </c>
      <c r="AQ15" s="30"/>
      <c r="AR15" s="30"/>
      <c r="AS15" s="30" t="str">
        <f ca="1">IFERROR(__xludf.DUMMYFUNCTION("""COMPUTED_VALUE"""),"Nicola Chebet Sabula")</f>
        <v>Nicola Chebet Sabula</v>
      </c>
      <c r="AT15" s="30"/>
      <c r="AU15" s="30" t="str">
        <f ca="1">IFERROR(__xludf.DUMMYFUNCTION("""COMPUTED_VALUE"""),"Sragvi Umesh Bhoyar")</f>
        <v>Sragvi Umesh Bhoyar</v>
      </c>
      <c r="AV15" s="30"/>
      <c r="AW15" s="30" t="str">
        <f ca="1">IFERROR(__xludf.DUMMYFUNCTION("""COMPUTED_VALUE"""),"Natasza Maria Obrycka")</f>
        <v>Natasza Maria Obrycka</v>
      </c>
      <c r="AX15" s="27" t="str">
        <f ca="1">IFERROR(__xludf.DUMMYFUNCTION("""COMPUTED_VALUE"""),"Roxane        Husain")</f>
        <v>Roxane        Husain</v>
      </c>
      <c r="AY15" s="27" t="str">
        <f ca="1">IFERROR(__xludf.DUMMYFUNCTION("""COMPUTED_VALUE"""),"Luis Fernando	Rueda Matute")</f>
        <v>Luis Fernando	Rueda Matute</v>
      </c>
      <c r="AZ15" s="27" t="str">
        <f ca="1">IFERROR(__xludf.DUMMYFUNCTION("""COMPUTED_VALUE"""),"Charles Michael Kaikai")</f>
        <v>Charles Michael Kaikai</v>
      </c>
      <c r="BA15" s="27" t="str">
        <f ca="1">IFERROR(__xludf.DUMMYFUNCTION("""COMPUTED_VALUE"""),"Trisha Tushar	Bolinjkar")</f>
        <v>Trisha Tushar	Bolinjkar</v>
      </c>
      <c r="BB15" s="27"/>
      <c r="BC15" s="27" t="str">
        <f ca="1">IFERROR(__xludf.DUMMYFUNCTION("""COMPUTED_VALUE"""),"Gael Kalenga Kabale")</f>
        <v>Gael Kalenga Kabale</v>
      </c>
      <c r="BD15" s="27" t="str">
        <f ca="1">IFERROR(__xludf.DUMMYFUNCTION("""COMPUTED_VALUE"""),"Kianny Mileska	Acosta Ceciliano")</f>
        <v>Kianny Mileska	Acosta Ceciliano</v>
      </c>
      <c r="BE15" s="27" t="str">
        <f ca="1">IFERROR(__xludf.DUMMYFUNCTION("""COMPUTED_VALUE"""),"Lottie Stares	Lewis")</f>
        <v>Lottie Stares	Lewis</v>
      </c>
      <c r="BF15" s="28" t="str">
        <f ca="1">IFERROR(__xludf.DUMMYFUNCTION("""COMPUTED_VALUE"""),"Roxane	Husain")</f>
        <v>Roxane	Husain</v>
      </c>
      <c r="BG15" s="28" t="str">
        <f ca="1">IFERROR(__xludf.DUMMYFUNCTION("""COMPUTED_VALUE"""),"Nika	Fransis")</f>
        <v>Nika	Fransis</v>
      </c>
      <c r="BH15" s="28" t="str">
        <f ca="1">IFERROR(__xludf.DUMMYFUNCTION("""COMPUTED_VALUE"""),"Jase Baidya")</f>
        <v>Jase Baidya</v>
      </c>
      <c r="BI15" s="28" t="str">
        <f ca="1">IFERROR(__xludf.DUMMYFUNCTION("""COMPUTED_VALUE"""),"Halia Farran Souweine")</f>
        <v>Halia Farran Souweine</v>
      </c>
      <c r="BJ15" s="28" t="str">
        <f ca="1">IFERROR(__xludf.DUMMYFUNCTION("""COMPUTED_VALUE"""),"Roxane Husain")</f>
        <v>Roxane Husain</v>
      </c>
      <c r="BK15" s="28" t="str">
        <f ca="1">IFERROR(__xludf.DUMMYFUNCTION("""COMPUTED_VALUE"""),"Trisha Tushar Bolinjkar")</f>
        <v>Trisha Tushar Bolinjkar</v>
      </c>
      <c r="BL15" s="28" t="str">
        <f ca="1">IFERROR(__xludf.DUMMYFUNCTION("""COMPUTED_VALUE"""),"Teresa Camarundin Campos")</f>
        <v>Teresa Camarundin Campos</v>
      </c>
      <c r="BM15" s="28" t="str">
        <f ca="1">IFERROR(__xludf.DUMMYFUNCTION("""COMPUTED_VALUE"""),"Katalina Segura Alfaro")</f>
        <v>Katalina Segura Alfaro</v>
      </c>
      <c r="BN15" s="28" t="str">
        <f ca="1">IFERROR(__xludf.DUMMYFUNCTION("""COMPUTED_VALUE"""),"Eva Movchan")</f>
        <v>Eva Movchan</v>
      </c>
      <c r="BO15" s="29"/>
      <c r="BP15" s="29" t="str">
        <f ca="1">IFERROR(__xludf.DUMMYFUNCTION("""COMPUTED_VALUE"""),"Marek Daniel	Barančík")</f>
        <v>Marek Daniel	Barančík</v>
      </c>
      <c r="BQ15" s="29" t="str">
        <f ca="1">IFERROR(__xludf.DUMMYFUNCTION("""COMPUTED_VALUE"""),"Sonam Deywa	Jamtsho")</f>
        <v>Sonam Deywa	Jamtsho</v>
      </c>
      <c r="BR15" s="29" t="str">
        <f ca="1">IFERROR(__xludf.DUMMYFUNCTION("""COMPUTED_VALUE"""),"Eoin Chandra	O Donaill Zanoni")</f>
        <v>Eoin Chandra	O Donaill Zanoni</v>
      </c>
      <c r="BS15" s="29" t="str">
        <f ca="1">IFERROR(__xludf.DUMMYFUNCTION("""COMPUTED_VALUE"""),"Glynnes Enidt	Brett Ortiz")</f>
        <v>Glynnes Enidt	Brett Ortiz</v>
      </c>
      <c r="BT15" s="29" t="str">
        <f ca="1">IFERROR(__xludf.DUMMYFUNCTION("""COMPUTED_VALUE"""),"Rosa Elizabeth Balaguer	Davis")</f>
        <v>Rosa Elizabeth Balaguer	Davis</v>
      </c>
      <c r="BU15" s="30" t="str">
        <f ca="1">IFERROR(__xludf.DUMMYFUNCTION("""COMPUTED_VALUE"""),"Lottie Stares	Lewis")</f>
        <v>Lottie Stares	Lewis</v>
      </c>
      <c r="BV15" s="30" t="str">
        <f ca="1">IFERROR(__xludf.DUMMYFUNCTION("""COMPUTED_VALUE"""),"Laura Camila	Zamora Chamorro")</f>
        <v>Laura Camila	Zamora Chamorro</v>
      </c>
      <c r="BW15" s="30" t="str">
        <f ca="1">IFERROR(__xludf.DUMMYFUNCTION("""COMPUTED_VALUE"""),"Mpundu Hervé	Impano")</f>
        <v>Mpundu Hervé	Impano</v>
      </c>
      <c r="BX15" s="30" t="str">
        <f ca="1">IFERROR(__xludf.DUMMYFUNCTION("""COMPUTED_VALUE"""),"Jase Baidya")</f>
        <v>Jase Baidya</v>
      </c>
      <c r="BY15" s="30" t="str">
        <f ca="1">IFERROR(__xludf.DUMMYFUNCTION("""COMPUTED_VALUE"""),"Chimiemena Shekinah	Njoku")</f>
        <v>Chimiemena Shekinah	Njoku</v>
      </c>
      <c r="BZ15" s="30" t="str">
        <f ca="1">IFERROR(__xludf.DUMMYFUNCTION("""COMPUTED_VALUE"""),"Olivia Sayaka Bates	Persson")</f>
        <v>Olivia Sayaka Bates	Persson</v>
      </c>
      <c r="CA15" s="30" t="str">
        <f ca="1">IFERROR(__xludf.DUMMYFUNCTION("""COMPUTED_VALUE"""),"Sampada	Adhikari")</f>
        <v>Sampada	Adhikari</v>
      </c>
      <c r="CB15" s="31"/>
      <c r="CC15" s="31"/>
      <c r="CD15" s="31"/>
      <c r="CE15" s="31"/>
      <c r="CF15" s="31"/>
      <c r="CG15" s="31"/>
      <c r="CH15" s="31"/>
      <c r="CI15" s="31"/>
      <c r="CJ15" s="31"/>
      <c r="CK15" s="31"/>
    </row>
    <row r="16" spans="1:89" x14ac:dyDescent="0.2">
      <c r="A16" s="32">
        <f ca="1">IFERROR(__xludf.DUMMYFUNCTION("""COMPUTED_VALUE"""),9)</f>
        <v>9</v>
      </c>
      <c r="B16" s="27" t="str">
        <f ca="1">IFERROR(__xludf.DUMMYFUNCTION("""COMPUTED_VALUE"""),"Mateo Andrés	BenÍtez Lara")</f>
        <v>Mateo Andrés	BenÍtez Lara</v>
      </c>
      <c r="C16" s="27"/>
      <c r="D16" s="27"/>
      <c r="E16" s="27"/>
      <c r="F16" s="27" t="str">
        <f ca="1">IFERROR(__xludf.DUMMYFUNCTION("""COMPUTED_VALUE"""),"Nala Jasmina	Norsworthy")</f>
        <v>Nala Jasmina	Norsworthy</v>
      </c>
      <c r="G16" s="27"/>
      <c r="H16" s="27"/>
      <c r="I16" s="27" t="str">
        <f ca="1">IFERROR(__xludf.DUMMYFUNCTION("""COMPUTED_VALUE"""),"Tenzin Norsang")</f>
        <v>Tenzin Norsang</v>
      </c>
      <c r="J16" s="27"/>
      <c r="K16" s="27" t="str">
        <f ca="1">IFERROR(__xludf.DUMMYFUNCTION("""COMPUTED_VALUE"""),"Mitra Mahin	Abram")</f>
        <v>Mitra Mahin	Abram</v>
      </c>
      <c r="L16" s="27"/>
      <c r="M16" s="27"/>
      <c r="N16" s="28"/>
      <c r="O16" s="28" t="str">
        <f ca="1">IFERROR(__xludf.DUMMYFUNCTION("""COMPUTED_VALUE"""),"Trisha Tushar Bolinjkar")</f>
        <v>Trisha Tushar Bolinjkar</v>
      </c>
      <c r="P16" s="28"/>
      <c r="Q16" s="28" t="str">
        <f ca="1">IFERROR(__xludf.DUMMYFUNCTION("""COMPUTED_VALUE"""),"Lauren Dulce Gonzales Veltman")</f>
        <v>Lauren Dulce Gonzales Veltman</v>
      </c>
      <c r="R16" s="28"/>
      <c r="S16" s="28" t="str">
        <f ca="1">IFERROR(__xludf.DUMMYFUNCTION("""COMPUTED_VALUE"""),"Jasmine Feliz Tielenius Kruythoff")</f>
        <v>Jasmine Feliz Tielenius Kruythoff</v>
      </c>
      <c r="T16" s="28"/>
      <c r="U16" s="28" t="str">
        <f ca="1">IFERROR(__xludf.DUMMYFUNCTION("""COMPUTED_VALUE"""),"Namtran Thien Tran")</f>
        <v>Namtran Thien Tran</v>
      </c>
      <c r="V16" s="28"/>
      <c r="W16" s="28"/>
      <c r="X16" s="28" t="str">
        <f ca="1">IFERROR(__xludf.DUMMYFUNCTION("""COMPUTED_VALUE"""),"Sophia Jasmine Binti Shahriman")</f>
        <v>Sophia Jasmine Binti Shahriman</v>
      </c>
      <c r="Y16" s="28"/>
      <c r="Z16" s="29" t="str">
        <f ca="1">IFERROR(__xludf.DUMMYFUNCTION("""COMPUTED_VALUE"""),"Kianny Mileska	Acosta Ceciliano")</f>
        <v>Kianny Mileska	Acosta Ceciliano</v>
      </c>
      <c r="AA16" s="29"/>
      <c r="AB16" s="29"/>
      <c r="AC16" s="29"/>
      <c r="AD16" s="29" t="str">
        <f ca="1">IFERROR(__xludf.DUMMYFUNCTION("""COMPUTED_VALUE"""),"Sonam Deywa	Jamtsho")</f>
        <v>Sonam Deywa	Jamtsho</v>
      </c>
      <c r="AE16" s="29"/>
      <c r="AF16" s="29" t="str">
        <f ca="1">IFERROR(__xludf.DUMMYFUNCTION("""COMPUTED_VALUE"""),"Mariana	Jiménez Cerdas")</f>
        <v>Mariana	Jiménez Cerdas</v>
      </c>
      <c r="AG16" s="29"/>
      <c r="AH16" s="29"/>
      <c r="AI16" s="29" t="str">
        <f ca="1">IFERROR(__xludf.DUMMYFUNCTION("""COMPUTED_VALUE"""),"Teresa	Camarundin Campos")</f>
        <v>Teresa	Camarundin Campos</v>
      </c>
      <c r="AJ16" s="29"/>
      <c r="AK16" s="29"/>
      <c r="AL16" s="29"/>
      <c r="AM16" s="29" t="str">
        <f ca="1">IFERROR(__xludf.DUMMYFUNCTION("""COMPUTED_VALUE"""),"Herman Dahl	Gaustad")</f>
        <v>Herman Dahl	Gaustad</v>
      </c>
      <c r="AN16" s="30" t="str">
        <f ca="1">IFERROR(__xludf.DUMMYFUNCTION("""COMPUTED_VALUE"""),"Gael Kalenga Kabale")</f>
        <v>Gael Kalenga Kabale</v>
      </c>
      <c r="AO16" s="30"/>
      <c r="AP16" s="30" t="str">
        <f ca="1">IFERROR(__xludf.DUMMYFUNCTION("""COMPUTED_VALUE"""),"Herman Dahl Gaustad")</f>
        <v>Herman Dahl Gaustad</v>
      </c>
      <c r="AQ16" s="30"/>
      <c r="AR16" s="30"/>
      <c r="AS16" s="30" t="str">
        <f ca="1">IFERROR(__xludf.DUMMYFUNCTION("""COMPUTED_VALUE"""),"Tushita Negi")</f>
        <v>Tushita Negi</v>
      </c>
      <c r="AT16" s="30"/>
      <c r="AU16" s="30"/>
      <c r="AV16" s="30"/>
      <c r="AW16" s="30" t="str">
        <f ca="1">IFERROR(__xludf.DUMMYFUNCTION("""COMPUTED_VALUE"""),"Sonam Deywa Jamtsho")</f>
        <v>Sonam Deywa Jamtsho</v>
      </c>
      <c r="AX16" s="27" t="str">
        <f ca="1">IFERROR(__xludf.DUMMYFUNCTION("""COMPUTED_VALUE"""),"Theope Selene        Kassimati Agiorgiti")</f>
        <v>Theope Selene        Kassimati Agiorgiti</v>
      </c>
      <c r="AY16" s="27" t="str">
        <f ca="1">IFERROR(__xludf.DUMMYFUNCTION("""COMPUTED_VALUE"""),"Luis	Lozano Samper")</f>
        <v>Luis	Lozano Samper</v>
      </c>
      <c r="AZ16" s="27" t="str">
        <f ca="1">IFERROR(__xludf.DUMMYFUNCTION("""COMPUTED_VALUE"""),"Hanifah Zahidah")</f>
        <v>Hanifah Zahidah</v>
      </c>
      <c r="BA16" s="27" t="str">
        <f ca="1">IFERROR(__xludf.DUMMYFUNCTION("""COMPUTED_VALUE"""),"Richesse  Kadima Tshibangu")</f>
        <v>Richesse  Kadima Tshibangu</v>
      </c>
      <c r="BB16" s="27"/>
      <c r="BC16" s="27" t="str">
        <f ca="1">IFERROR(__xludf.DUMMYFUNCTION("""COMPUTED_VALUE"""),"Rebecca	Signoretti")</f>
        <v>Rebecca	Signoretti</v>
      </c>
      <c r="BD16" s="27" t="str">
        <f ca="1">IFERROR(__xludf.DUMMYFUNCTION("""COMPUTED_VALUE"""),"Layla Malia	Khubchandani")</f>
        <v>Layla Malia	Khubchandani</v>
      </c>
      <c r="BE16" s="27" t="str">
        <f ca="1">IFERROR(__xludf.DUMMYFUNCTION("""COMPUTED_VALUE"""),"Maxime Gabin	Dinard-Maucoeur")</f>
        <v>Maxime Gabin	Dinard-Maucoeur</v>
      </c>
      <c r="BF16" s="28" t="str">
        <f ca="1">IFERROR(__xludf.DUMMYFUNCTION("""COMPUTED_VALUE"""),"Selma Medog	Gedon")</f>
        <v>Selma Medog	Gedon</v>
      </c>
      <c r="BG16" s="28" t="str">
        <f ca="1">IFERROR(__xludf.DUMMYFUNCTION("""COMPUTED_VALUE"""),"Sheena Wangumo	Wanyoro")</f>
        <v>Sheena Wangumo	Wanyoro</v>
      </c>
      <c r="BH16" s="28" t="str">
        <f ca="1">IFERROR(__xludf.DUMMYFUNCTION("""COMPUTED_VALUE"""),"Lottie Stares Lewis")</f>
        <v>Lottie Stares Lewis</v>
      </c>
      <c r="BI16" s="28" t="str">
        <f ca="1">IFERROR(__xludf.DUMMYFUNCTION("""COMPUTED_VALUE"""),"Jasmine Feliz Tielenius Kruythoff")</f>
        <v>Jasmine Feliz Tielenius Kruythoff</v>
      </c>
      <c r="BJ16" s="28" t="str">
        <f ca="1">IFERROR(__xludf.DUMMYFUNCTION("""COMPUTED_VALUE"""),"Samuel Grey Villarreal Montoya")</f>
        <v>Samuel Grey Villarreal Montoya</v>
      </c>
      <c r="BK16" s="28" t="str">
        <f ca="1">IFERROR(__xludf.DUMMYFUNCTION("""COMPUTED_VALUE"""),"Yajur Ojha")</f>
        <v>Yajur Ojha</v>
      </c>
      <c r="BL16" s="28" t="str">
        <f ca="1">IFERROR(__xludf.DUMMYFUNCTION("""COMPUTED_VALUE"""),"Richesse  Kadima Tshibangu")</f>
        <v>Richesse  Kadima Tshibangu</v>
      </c>
      <c r="BM16" s="28" t="str">
        <f ca="1">IFERROR(__xludf.DUMMYFUNCTION("""COMPUTED_VALUE"""),"Laura Camila Zamora Chamorro")</f>
        <v>Laura Camila Zamora Chamorro</v>
      </c>
      <c r="BN16" s="28" t="str">
        <f ca="1">IFERROR(__xludf.DUMMYFUNCTION("""COMPUTED_VALUE"""),"Herman Dahl Gaustad")</f>
        <v>Herman Dahl Gaustad</v>
      </c>
      <c r="BO16" s="29"/>
      <c r="BP16" s="29" t="str">
        <f ca="1">IFERROR(__xludf.DUMMYFUNCTION("""COMPUTED_VALUE"""),"Noah Daniel	Burege")</f>
        <v>Noah Daniel	Burege</v>
      </c>
      <c r="BQ16" s="29" t="str">
        <f ca="1">IFERROR(__xludf.DUMMYFUNCTION("""COMPUTED_VALUE"""),"Trisha Tushar	Bolinjkar")</f>
        <v>Trisha Tushar	Bolinjkar</v>
      </c>
      <c r="BR16" s="29" t="str">
        <f ca="1">IFERROR(__xludf.DUMMYFUNCTION("""COMPUTED_VALUE"""),"Herman Dahl	Gaustad")</f>
        <v>Herman Dahl	Gaustad</v>
      </c>
      <c r="BS16" s="29" t="str">
        <f ca="1">IFERROR(__xludf.DUMMYFUNCTION("""COMPUTED_VALUE"""),"Katalina	Segura Alfaro")</f>
        <v>Katalina	Segura Alfaro</v>
      </c>
      <c r="BT16" s="29" t="str">
        <f ca="1">IFERROR(__xludf.DUMMYFUNCTION("""COMPUTED_VALUE"""),"Sophia Jasmine	Binti Shahriman")</f>
        <v>Sophia Jasmine	Binti Shahriman</v>
      </c>
      <c r="BU16" s="30" t="str">
        <f ca="1">IFERROR(__xludf.DUMMYFUNCTION("""COMPUTED_VALUE"""),"Sampada        Adhikari")</f>
        <v>Sampada        Adhikari</v>
      </c>
      <c r="BV16" s="30" t="str">
        <f ca="1">IFERROR(__xludf.DUMMYFUNCTION("""COMPUTED_VALUE"""),"Maria José	Candelas Vargas")</f>
        <v>Maria José	Candelas Vargas</v>
      </c>
      <c r="BW16" s="30" t="str">
        <f ca="1">IFERROR(__xludf.DUMMYFUNCTION("""COMPUTED_VALUE"""),"Tushita	Negi")</f>
        <v>Tushita	Negi</v>
      </c>
      <c r="BX16" s="30" t="str">
        <f ca="1">IFERROR(__xludf.DUMMYFUNCTION("""COMPUTED_VALUE"""),"Katalina	Segura Alfaro")</f>
        <v>Katalina	Segura Alfaro</v>
      </c>
      <c r="BY16" s="30" t="str">
        <f ca="1">IFERROR(__xludf.DUMMYFUNCTION("""COMPUTED_VALUE"""),"Rebecca        Signoretti")</f>
        <v>Rebecca        Signoretti</v>
      </c>
      <c r="BZ16" s="30" t="str">
        <f ca="1">IFERROR(__xludf.DUMMYFUNCTION("""COMPUTED_VALUE"""),"Sheena Wangumo	Wanyoro")</f>
        <v>Sheena Wangumo	Wanyoro</v>
      </c>
      <c r="CA16" s="30" t="str">
        <f ca="1">IFERROR(__xludf.DUMMYFUNCTION("""COMPUTED_VALUE"""),"Carl Gustav	Mandl")</f>
        <v>Carl Gustav	Mandl</v>
      </c>
      <c r="CB16" s="31"/>
      <c r="CC16" s="31"/>
      <c r="CD16" s="31"/>
      <c r="CE16" s="31"/>
      <c r="CF16" s="31"/>
      <c r="CG16" s="31"/>
      <c r="CH16" s="31"/>
      <c r="CI16" s="31"/>
      <c r="CJ16" s="31"/>
      <c r="CK16" s="31"/>
    </row>
    <row r="17" spans="1:89" ht="68" x14ac:dyDescent="0.2">
      <c r="A17" s="32">
        <f ca="1">IFERROR(__xludf.DUMMYFUNCTION("""COMPUTED_VALUE"""),10)</f>
        <v>10</v>
      </c>
      <c r="B17" s="27" t="str">
        <f ca="1">IFERROR(__xludf.DUMMYFUNCTION("""COMPUTED_VALUE"""),"Rudy Eduardo	Siguan Ixcal")</f>
        <v>Rudy Eduardo	Siguan Ixcal</v>
      </c>
      <c r="C17" s="27"/>
      <c r="D17" s="27"/>
      <c r="E17" s="27"/>
      <c r="F17" s="27" t="str">
        <f ca="1">IFERROR(__xludf.DUMMYFUNCTION("""COMPUTED_VALUE"""),"Noah Daniel	Burege")</f>
        <v>Noah Daniel	Burege</v>
      </c>
      <c r="G17" s="27"/>
      <c r="H17" s="27"/>
      <c r="I17" s="27" t="str">
        <f ca="1">IFERROR(__xludf.DUMMYFUNCTION("""COMPUTED_VALUE"""),"Adrian Muwonge")</f>
        <v>Adrian Muwonge</v>
      </c>
      <c r="J17" s="27"/>
      <c r="K17" s="27"/>
      <c r="L17" s="27"/>
      <c r="M17" s="27"/>
      <c r="N17" s="28"/>
      <c r="O17" s="28" t="str">
        <f ca="1">IFERROR(__xludf.DUMMYFUNCTION("""COMPUTED_VALUE"""),"Tenzin Norsang")</f>
        <v>Tenzin Norsang</v>
      </c>
      <c r="P17" s="28"/>
      <c r="Q17" s="28" t="str">
        <f ca="1">IFERROR(__xludf.DUMMYFUNCTION("""COMPUTED_VALUE"""),"Luis Fernando Rueda Matute")</f>
        <v>Luis Fernando Rueda Matute</v>
      </c>
      <c r="R17" s="28"/>
      <c r="S17" s="28" t="str">
        <f ca="1">IFERROR(__xludf.DUMMYFUNCTION("""COMPUTED_VALUE"""),"Marek Daniel Barančík")</f>
        <v>Marek Daniel Barančík</v>
      </c>
      <c r="T17" s="28"/>
      <c r="U17" s="28"/>
      <c r="V17" s="28"/>
      <c r="W17" s="28"/>
      <c r="X17" s="28" t="str">
        <f ca="1">IFERROR(__xludf.DUMMYFUNCTION("""COMPUTED_VALUE"""),"Tushita Negi")</f>
        <v>Tushita Negi</v>
      </c>
      <c r="Y17" s="28"/>
      <c r="Z17" s="29" t="str">
        <f ca="1">IFERROR(__xludf.DUMMYFUNCTION("""COMPUTED_VALUE"""),"Layla Malia	Khubchandani")</f>
        <v>Layla Malia	Khubchandani</v>
      </c>
      <c r="AA17" s="29"/>
      <c r="AB17" s="29"/>
      <c r="AC17" s="29"/>
      <c r="AD17" s="29" t="str">
        <f ca="1">IFERROR(__xludf.DUMMYFUNCTION("""COMPUTED_VALUE"""),"Maria José Candelas Vargas")</f>
        <v>Maria José Candelas Vargas</v>
      </c>
      <c r="AE17" s="29"/>
      <c r="AF17" s="29" t="str">
        <f ca="1">IFERROR(__xludf.DUMMYFUNCTION("""COMPUTED_VALUE"""),"Nicola Chebet	Sabula")</f>
        <v>Nicola Chebet	Sabula</v>
      </c>
      <c r="AG17" s="29"/>
      <c r="AH17" s="29"/>
      <c r="AI17" s="29" t="str">
        <f ca="1">IFERROR(__xludf.DUMMYFUNCTION("""COMPUTED_VALUE"""),"Trisha Tushar	Bolinjkar")</f>
        <v>Trisha Tushar	Bolinjkar</v>
      </c>
      <c r="AJ17" s="29"/>
      <c r="AK17" s="29"/>
      <c r="AL17" s="29"/>
      <c r="AM17" s="29" t="str">
        <f ca="1">IFERROR(__xludf.DUMMYFUNCTION("""COMPUTED_VALUE"""),"Jasmine Feliz	Tielenius Kruythoff")</f>
        <v>Jasmine Feliz	Tielenius Kruythoff</v>
      </c>
      <c r="AN17" s="30"/>
      <c r="AO17" s="30"/>
      <c r="AP17" s="30" t="str">
        <f ca="1">IFERROR(__xludf.DUMMYFUNCTION("""COMPUTED_VALUE"""),"Edit Csernus")</f>
        <v>Edit Csernus</v>
      </c>
      <c r="AQ17" s="30"/>
      <c r="AR17" s="30"/>
      <c r="AS17" s="30"/>
      <c r="AT17" s="30"/>
      <c r="AU17" s="30"/>
      <c r="AV17" s="30"/>
      <c r="AW17" s="30" t="str">
        <f ca="1">IFERROR(__xludf.DUMMYFUNCTION("""COMPUTED_VALUE"""),"Adrian Muwonge")</f>
        <v>Adrian Muwonge</v>
      </c>
      <c r="AX17" s="27"/>
      <c r="AY17" s="27" t="str">
        <f ca="1">IFERROR(__xludf.DUMMYFUNCTION("""COMPUTED_VALUE"""),"Maria Fernanda	Castillo Cuellar")</f>
        <v>Maria Fernanda	Castillo Cuellar</v>
      </c>
      <c r="AZ17" s="27" t="str">
        <f ca="1">IFERROR(__xludf.DUMMYFUNCTION("""COMPUTED_VALUE"""),"Adrian Muwonge")</f>
        <v>Adrian Muwonge</v>
      </c>
      <c r="BA17" s="27"/>
      <c r="BB17" s="27"/>
      <c r="BC17" s="27"/>
      <c r="BD17" s="27" t="str">
        <f ca="1">IFERROR(__xludf.DUMMYFUNCTION("""COMPUTED_VALUE"""),"Mpundu Hervé	Impano")</f>
        <v>Mpundu Hervé	Impano</v>
      </c>
      <c r="BE17" s="27" t="str">
        <f ca="1">IFERROR(__xludf.DUMMYFUNCTION("""COMPUTED_VALUE"""),"Nicola Chebet	Sabula")</f>
        <v>Nicola Chebet	Sabula</v>
      </c>
      <c r="BF17" s="28"/>
      <c r="BG17" s="28" t="str">
        <f ca="1">IFERROR(__xludf.DUMMYFUNCTION("""COMPUTED_VALUE"""),"Sonam Deywa	Jamtsho")</f>
        <v>Sonam Deywa	Jamtsho</v>
      </c>
      <c r="BH17" s="28" t="str">
        <f ca="1">IFERROR(__xludf.DUMMYFUNCTION("""COMPUTED_VALUE"""),"Louise Dalstrøm Thoma")</f>
        <v>Louise Dalstrøm Thoma</v>
      </c>
      <c r="BI17" s="28" t="str">
        <f ca="1">IFERROR(__xludf.DUMMYFUNCTION("""COMPUTED_VALUE"""),"Layla Malia Khubchandani")</f>
        <v>Layla Malia Khubchandani</v>
      </c>
      <c r="BJ17" s="28" t="str">
        <f ca="1">IFERROR(__xludf.DUMMYFUNCTION("""COMPUTED_VALUE"""),"Theope Selene Kassimati Agiorgiti")</f>
        <v>Theope Selene Kassimati Agiorgiti</v>
      </c>
      <c r="BK17" s="28" t="str">
        <f ca="1">IFERROR(__xludf.DUMMYFUNCTION("""COMPUTED_VALUE"""),"Zachary Lewis  Evans ")</f>
        <v xml:space="preserve">Zachary Lewis  Evans </v>
      </c>
      <c r="BL17" s="28"/>
      <c r="BM17" s="28" t="str">
        <f ca="1">IFERROR(__xludf.DUMMYFUNCTION("""COMPUTED_VALUE"""),"Luis Lozano Samper")</f>
        <v>Luis Lozano Samper</v>
      </c>
      <c r="BN17" s="28" t="str">
        <f ca="1">IFERROR(__xludf.DUMMYFUNCTION("""COMPUTED_VALUE"""),"Benjamín Tomás	Esteban Oppenheímer")</f>
        <v>Benjamín Tomás	Esteban Oppenheímer</v>
      </c>
      <c r="BO17" s="29"/>
      <c r="BP17" s="29" t="str">
        <f ca="1">IFERROR(__xludf.DUMMYFUNCTION("""COMPUTED_VALUE"""),"Rebecca	Signoretti")</f>
        <v>Rebecca	Signoretti</v>
      </c>
      <c r="BQ17" s="29" t="str">
        <f ca="1">IFERROR(__xludf.DUMMYFUNCTION("""COMPUTED_VALUE"""),"Tushita	Negi")</f>
        <v>Tushita	Negi</v>
      </c>
      <c r="BR17" s="29" t="str">
        <f ca="1">IFERROR(__xludf.DUMMYFUNCTION("""COMPUTED_VALUE"""),"Laila Emmanuelle Thorburn	Chen")</f>
        <v>Laila Emmanuelle Thorburn	Chen</v>
      </c>
      <c r="BS17" s="29" t="str">
        <f ca="1">IFERROR(__xludf.DUMMYFUNCTION("""COMPUTED_VALUE"""),"Kianny Mileska	Acosta Ceciliano")</f>
        <v>Kianny Mileska	Acosta Ceciliano</v>
      </c>
      <c r="BT17" s="29" t="str">
        <f ca="1">IFERROR(__xludf.DUMMYFUNCTION("""COMPUTED_VALUE"""),"Theope Selene	Kassimati Agiorgiti")</f>
        <v>Theope Selene	Kassimati Agiorgiti</v>
      </c>
      <c r="BU17" s="30" t="str">
        <f ca="1">IFERROR(__xludf.DUMMYFUNCTION("""COMPUTED_VALUE"""),"Amanda Yutian        Song Li")</f>
        <v>Amanda Yutian        Song Li</v>
      </c>
      <c r="BV17" s="30" t="str">
        <f ca="1">IFERROR(__xludf.DUMMYFUNCTION("""COMPUTED_VALUE"""),"Mateo Andrés	BenÍtez Lara")</f>
        <v>Mateo Andrés	BenÍtez Lara</v>
      </c>
      <c r="BW17" s="30" t="str">
        <f ca="1">IFERROR(__xludf.DUMMYFUNCTION("""COMPUTED_VALUE"""),"Richesse Kadima Tshibangu")</f>
        <v>Richesse Kadima Tshibangu</v>
      </c>
      <c r="BX17" s="30" t="str">
        <f ca="1">IFERROR(__xludf.DUMMYFUNCTION("""COMPUTED_VALUE"""),"Kianny Mileska	Acosta Ceciliano")</f>
        <v>Kianny Mileska	Acosta Ceciliano</v>
      </c>
      <c r="BY17" s="30" t="str">
        <f ca="1">IFERROR(__xludf.DUMMYFUNCTION("""COMPUTED_VALUE"""),"Samuel Grey	Villarreal Montoya")</f>
        <v>Samuel Grey	Villarreal Montoya</v>
      </c>
      <c r="BZ17" s="30" t="str">
        <f ca="1">IFERROR(__xludf.DUMMYFUNCTION("""COMPUTED_VALUE"""),"Sonam Deywa	Jamtsho")</f>
        <v>Sonam Deywa	Jamtsho</v>
      </c>
      <c r="CA17" s="30"/>
      <c r="CB17" s="31"/>
      <c r="CC17" s="31"/>
      <c r="CD17" s="31"/>
      <c r="CE17" s="31"/>
      <c r="CF17" s="31"/>
      <c r="CG17" s="31"/>
      <c r="CH17" s="31"/>
      <c r="CI17" s="31"/>
      <c r="CJ17" s="31"/>
      <c r="CK17" s="31"/>
    </row>
    <row r="18" spans="1:89" x14ac:dyDescent="0.2">
      <c r="A18" s="32">
        <f ca="1">IFERROR(__xludf.DUMMYFUNCTION("""COMPUTED_VALUE"""),11)</f>
        <v>11</v>
      </c>
      <c r="B18" s="27" t="str">
        <f ca="1">IFERROR(__xludf.DUMMYFUNCTION("""COMPUTED_VALUE"""),"Sebastián Roberto	Sánchez Obregón")</f>
        <v>Sebastián Roberto	Sánchez Obregón</v>
      </c>
      <c r="C18" s="27"/>
      <c r="D18" s="27"/>
      <c r="E18" s="27"/>
      <c r="F18" s="27" t="str">
        <f ca="1">IFERROR(__xludf.DUMMYFUNCTION("""COMPUTED_VALUE"""),"Rosa Elizabeth Balaguer	Davis")</f>
        <v>Rosa Elizabeth Balaguer	Davis</v>
      </c>
      <c r="G18" s="27"/>
      <c r="H18" s="27"/>
      <c r="I18" s="27"/>
      <c r="J18" s="27"/>
      <c r="K18" s="27" t="str">
        <f ca="1">IFERROR(__xludf.DUMMYFUNCTION("""COMPUTED_VALUE"""),"Sheena Wangumo	Wanyoro")</f>
        <v>Sheena Wangumo	Wanyoro</v>
      </c>
      <c r="L18" s="27"/>
      <c r="M18" s="27"/>
      <c r="N18" s="28"/>
      <c r="O18" s="28" t="str">
        <f ca="1">IFERROR(__xludf.DUMMYFUNCTION("""COMPUTED_VALUE"""),"Mariana Jiménez Cerdas")</f>
        <v>Mariana Jiménez Cerdas</v>
      </c>
      <c r="P18" s="28"/>
      <c r="Q18" s="28" t="str">
        <f ca="1">IFERROR(__xludf.DUMMYFUNCTION("""COMPUTED_VALUE"""),"Maithe Antonia Gonzalez Concha")</f>
        <v>Maithe Antonia Gonzalez Concha</v>
      </c>
      <c r="R18" s="28"/>
      <c r="S18" s="28" t="str">
        <f ca="1">IFERROR(__xludf.DUMMYFUNCTION("""COMPUTED_VALUE"""),"Maria Panagiota Kaoudi")</f>
        <v>Maria Panagiota Kaoudi</v>
      </c>
      <c r="T18" s="28"/>
      <c r="U18" s="28"/>
      <c r="V18" s="28"/>
      <c r="W18" s="28"/>
      <c r="X18" s="28"/>
      <c r="Y18" s="28"/>
      <c r="Z18" s="29" t="str">
        <f ca="1">IFERROR(__xludf.DUMMYFUNCTION("""COMPUTED_VALUE"""),"Olivia Sayaka Bates	Persson")</f>
        <v>Olivia Sayaka Bates	Persson</v>
      </c>
      <c r="AA18" s="29"/>
      <c r="AB18" s="29"/>
      <c r="AC18" s="29"/>
      <c r="AD18" s="29" t="str">
        <f ca="1">IFERROR(__xludf.DUMMYFUNCTION("""COMPUTED_VALUE"""),"Laura Camila Zamora Cachorro")</f>
        <v>Laura Camila Zamora Cachorro</v>
      </c>
      <c r="AE18" s="29"/>
      <c r="AF18" s="29" t="str">
        <f ca="1">IFERROR(__xludf.DUMMYFUNCTION("""COMPUTED_VALUE"""),"Samuel Grey	Villarreal Montoya")</f>
        <v>Samuel Grey	Villarreal Montoya</v>
      </c>
      <c r="AG18" s="29"/>
      <c r="AH18" s="29"/>
      <c r="AI18" s="29" t="str">
        <f ca="1">IFERROR(__xludf.DUMMYFUNCTION("""COMPUTED_VALUE"""),"Mpundu Hervé Impano")</f>
        <v>Mpundu Hervé Impano</v>
      </c>
      <c r="AJ18" s="29"/>
      <c r="AK18" s="29"/>
      <c r="AL18" s="29"/>
      <c r="AM18" s="29" t="str">
        <f ca="1">IFERROR(__xludf.DUMMYFUNCTION("""COMPUTED_VALUE"""),"Matei Daniel	Ghitoiu")</f>
        <v>Matei Daniel	Ghitoiu</v>
      </c>
      <c r="AN18" s="30"/>
      <c r="AO18" s="30"/>
      <c r="AP18" s="30" t="str">
        <f ca="1">IFERROR(__xludf.DUMMYFUNCTION("""COMPUTED_VALUE"""),"Carl Gustav Mandl")</f>
        <v>Carl Gustav Mandl</v>
      </c>
      <c r="AQ18" s="30"/>
      <c r="AR18" s="30"/>
      <c r="AS18" s="30"/>
      <c r="AT18" s="30"/>
      <c r="AU18" s="30"/>
      <c r="AV18" s="30"/>
      <c r="AW18" s="30" t="str">
        <f ca="1">IFERROR(__xludf.DUMMYFUNCTION("""COMPUTED_VALUE"""),"Chimme Pema	Selden")</f>
        <v>Chimme Pema	Selden</v>
      </c>
      <c r="AX18" s="27"/>
      <c r="AY18" s="27" t="str">
        <f ca="1">IFERROR(__xludf.DUMMYFUNCTION("""COMPUTED_VALUE"""),"Maria José	Candelas Vargas")</f>
        <v>Maria José	Candelas Vargas</v>
      </c>
      <c r="AZ18" s="27" t="str">
        <f ca="1">IFERROR(__xludf.DUMMYFUNCTION("""COMPUTED_VALUE"""),"Nika Fransis")</f>
        <v>Nika Fransis</v>
      </c>
      <c r="BA18" s="27"/>
      <c r="BB18" s="27"/>
      <c r="BC18" s="27"/>
      <c r="BD18" s="27" t="str">
        <f ca="1">IFERROR(__xludf.DUMMYFUNCTION("""COMPUTED_VALUE"""),"Nala Jasmina	Norsworthy")</f>
        <v>Nala Jasmina	Norsworthy</v>
      </c>
      <c r="BE18" s="27" t="str">
        <f ca="1">IFERROR(__xludf.DUMMYFUNCTION("""COMPUTED_VALUE"""),"Theope Selene	Kassimati Agiorgiti")</f>
        <v>Theope Selene	Kassimati Agiorgiti</v>
      </c>
      <c r="BF18" s="28"/>
      <c r="BG18" s="28" t="str">
        <f ca="1">IFERROR(__xludf.DUMMYFUNCTION("""COMPUTED_VALUE"""),"Chimme Pema        Selden")</f>
        <v>Chimme Pema        Selden</v>
      </c>
      <c r="BH18" s="28" t="str">
        <f ca="1">IFERROR(__xludf.DUMMYFUNCTION("""COMPUTED_VALUE"""),"Mitra Mahin	Abram")</f>
        <v>Mitra Mahin	Abram</v>
      </c>
      <c r="BI18" s="28"/>
      <c r="BJ18" s="28"/>
      <c r="BK18" s="28" t="str">
        <f ca="1">IFERROR(__xludf.DUMMYFUNCTION("""COMPUTED_VALUE"""),"Tenzin Norsang")</f>
        <v>Tenzin Norsang</v>
      </c>
      <c r="BL18" s="28"/>
      <c r="BM18" s="28" t="str">
        <f ca="1">IFERROR(__xludf.DUMMYFUNCTION("""COMPUTED_VALUE"""),"Maithe Antonia Gonzalez Concha")</f>
        <v>Maithe Antonia Gonzalez Concha</v>
      </c>
      <c r="BN18" s="28" t="str">
        <f ca="1">IFERROR(__xludf.DUMMYFUNCTION("""COMPUTED_VALUE"""),"Sragvi Umesh Bhoyar")</f>
        <v>Sragvi Umesh Bhoyar</v>
      </c>
      <c r="BO18" s="29"/>
      <c r="BP18" s="29" t="str">
        <f ca="1">IFERROR(__xludf.DUMMYFUNCTION("""COMPUTED_VALUE"""),"Natasza Maria	Obrycka")</f>
        <v>Natasza Maria	Obrycka</v>
      </c>
      <c r="BQ18" s="29" t="str">
        <f ca="1">IFERROR(__xludf.DUMMYFUNCTION("""COMPUTED_VALUE"""),"Yajur	Ojha")</f>
        <v>Yajur	Ojha</v>
      </c>
      <c r="BR18" s="29" t="str">
        <f ca="1">IFERROR(__xludf.DUMMYFUNCTION("""COMPUTED_VALUE"""),"Mariana	Jiménez Cerdas")</f>
        <v>Mariana	Jiménez Cerdas</v>
      </c>
      <c r="BS18" s="29" t="str">
        <f ca="1">IFERROR(__xludf.DUMMYFUNCTION("""COMPUTED_VALUE"""),"Laura Camila	Zamora Chamorro")</f>
        <v>Laura Camila	Zamora Chamorro</v>
      </c>
      <c r="BT18" s="29" t="str">
        <f ca="1">IFERROR(__xludf.DUMMYFUNCTION("""COMPUTED_VALUE"""),"Jing-U	Lin")</f>
        <v>Jing-U	Lin</v>
      </c>
      <c r="BU18" s="30" t="str">
        <f ca="1">IFERROR(__xludf.DUMMYFUNCTION("""COMPUTED_VALUE"""),"Carl Gustav    Mandl")</f>
        <v>Carl Gustav    Mandl</v>
      </c>
      <c r="BV18" s="30" t="str">
        <f ca="1">IFERROR(__xludf.DUMMYFUNCTION("""COMPUTED_VALUE"""),"Namtran Thien	Tran")</f>
        <v>Namtran Thien	Tran</v>
      </c>
      <c r="BW18" s="30" t="str">
        <f ca="1">IFERROR(__xludf.DUMMYFUNCTION("""COMPUTED_VALUE"""),"Gael Kalenga Kabale")</f>
        <v>Gael Kalenga Kabale</v>
      </c>
      <c r="BX18" s="30" t="str">
        <f ca="1">IFERROR(__xludf.DUMMYFUNCTION("""COMPUTED_VALUE"""),"Lauren Dulce	Gonzales Veltman")</f>
        <v>Lauren Dulce	Gonzales Veltman</v>
      </c>
      <c r="BY18" s="30" t="str">
        <f ca="1">IFERROR(__xludf.DUMMYFUNCTION("""COMPUTED_VALUE"""),"Sonam	Jourden")</f>
        <v>Sonam	Jourden</v>
      </c>
      <c r="BZ18" s="30" t="str">
        <f ca="1">IFERROR(__xludf.DUMMYFUNCTION("""COMPUTED_VALUE"""),"Trisha Tushar	Bolinjkar")</f>
        <v>Trisha Tushar	Bolinjkar</v>
      </c>
      <c r="CA18" s="30"/>
      <c r="CB18" s="31"/>
      <c r="CC18" s="31"/>
      <c r="CD18" s="31"/>
      <c r="CE18" s="31"/>
      <c r="CF18" s="31"/>
      <c r="CG18" s="31"/>
      <c r="CH18" s="31"/>
      <c r="CI18" s="31"/>
      <c r="CJ18" s="31"/>
      <c r="CK18" s="31"/>
    </row>
    <row r="19" spans="1:89" x14ac:dyDescent="0.2">
      <c r="A19" s="32">
        <f ca="1">IFERROR(__xludf.DUMMYFUNCTION("""COMPUTED_VALUE"""),12)</f>
        <v>12</v>
      </c>
      <c r="B19" s="27" t="str">
        <f ca="1">IFERROR(__xludf.DUMMYFUNCTION("""COMPUTED_VALUE"""),"Sofía        Pagan Ortigas")</f>
        <v>Sofía        Pagan Ortigas</v>
      </c>
      <c r="C19" s="27"/>
      <c r="D19" s="27"/>
      <c r="E19" s="27"/>
      <c r="F19" s="27" t="str">
        <f ca="1">IFERROR(__xludf.DUMMYFUNCTION("""COMPUTED_VALUE"""),"Coco Tresca Hyslop")</f>
        <v>Coco Tresca Hyslop</v>
      </c>
      <c r="G19" s="27"/>
      <c r="H19" s="27"/>
      <c r="I19" s="27"/>
      <c r="J19" s="27"/>
      <c r="K19" s="27" t="str">
        <f ca="1">IFERROR(__xludf.DUMMYFUNCTION("""COMPUTED_VALUE"""),"Sonam	Jourden")</f>
        <v>Sonam	Jourden</v>
      </c>
      <c r="L19" s="27"/>
      <c r="M19" s="27"/>
      <c r="N19" s="28"/>
      <c r="O19" s="28" t="str">
        <f ca="1">IFERROR(__xludf.DUMMYFUNCTION("""COMPUTED_VALUE"""),"Adrian Muwonge")</f>
        <v>Adrian Muwonge</v>
      </c>
      <c r="P19" s="28"/>
      <c r="Q19" s="28" t="str">
        <f ca="1">IFERROR(__xludf.DUMMYFUNCTION("""COMPUTED_VALUE"""),"Maša  Pašić")</f>
        <v>Maša  Pašić</v>
      </c>
      <c r="R19" s="28"/>
      <c r="S19" s="28" t="str">
        <f ca="1">IFERROR(__xludf.DUMMYFUNCTION("""COMPUTED_VALUE"""),"Oslin Smith Irigoyen Alvarado")</f>
        <v>Oslin Smith Irigoyen Alvarado</v>
      </c>
      <c r="T19" s="28"/>
      <c r="U19" s="28"/>
      <c r="V19" s="28"/>
      <c r="W19" s="28"/>
      <c r="X19" s="28"/>
      <c r="Y19" s="28"/>
      <c r="Z19" s="29" t="str">
        <f ca="1">IFERROR(__xludf.DUMMYFUNCTION("""COMPUTED_VALUE"""),"Rebecca	Signoretti")</f>
        <v>Rebecca	Signoretti</v>
      </c>
      <c r="AA19" s="29"/>
      <c r="AB19" s="29"/>
      <c r="AC19" s="29"/>
      <c r="AD19" s="29"/>
      <c r="AE19" s="29"/>
      <c r="AF19" s="29" t="str">
        <f ca="1">IFERROR(__xludf.DUMMYFUNCTION("""COMPUTED_VALUE"""),"Yajur	Ojha")</f>
        <v>Yajur	Ojha</v>
      </c>
      <c r="AG19" s="29"/>
      <c r="AH19" s="29"/>
      <c r="AI19" s="29" t="str">
        <f ca="1">IFERROR(__xludf.DUMMYFUNCTION("""COMPUTED_VALUE"""),"Sheena Wangumo Wanyoro")</f>
        <v>Sheena Wangumo Wanyoro</v>
      </c>
      <c r="AJ19" s="29"/>
      <c r="AK19" s="29"/>
      <c r="AL19" s="29"/>
      <c r="AM19" s="29" t="str">
        <f ca="1">IFERROR(__xludf.DUMMYFUNCTION("""COMPUTED_VALUE"""),"Maxime Gabin	Dinard-Maucoeur")</f>
        <v>Maxime Gabin	Dinard-Maucoeur</v>
      </c>
      <c r="AN19" s="30"/>
      <c r="AO19" s="30"/>
      <c r="AP19" s="30" t="str">
        <f ca="1">IFERROR(__xludf.DUMMYFUNCTION("""COMPUTED_VALUE"""),"Alexander Kuntz Kristiansen")</f>
        <v>Alexander Kuntz Kristiansen</v>
      </c>
      <c r="AQ19" s="30"/>
      <c r="AR19" s="30"/>
      <c r="AS19" s="30"/>
      <c r="AT19" s="30"/>
      <c r="AU19" s="30"/>
      <c r="AV19" s="30"/>
      <c r="AW19" s="30" t="str">
        <f ca="1">IFERROR(__xludf.DUMMYFUNCTION("""COMPUTED_VALUE"""),"Jing-U	Lin")</f>
        <v>Jing-U	Lin</v>
      </c>
      <c r="AX19" s="27"/>
      <c r="AY19" s="27" t="str">
        <f ca="1">IFERROR(__xludf.DUMMYFUNCTION("""COMPUTED_VALUE"""),"Mariana	Jiménez Cerdas")</f>
        <v>Mariana	Jiménez Cerdas</v>
      </c>
      <c r="AZ19" s="27" t="str">
        <f ca="1">IFERROR(__xludf.DUMMYFUNCTION("""COMPUTED_VALUE"""),"Sheena Wangumo Wanyoro")</f>
        <v>Sheena Wangumo Wanyoro</v>
      </c>
      <c r="BA19" s="27"/>
      <c r="BB19" s="27"/>
      <c r="BC19" s="27"/>
      <c r="BD19" s="27" t="str">
        <f ca="1">IFERROR(__xludf.DUMMYFUNCTION("""COMPUTED_VALUE"""),"Namtran Thien	Tran")</f>
        <v>Namtran Thien	Tran</v>
      </c>
      <c r="BE19" s="27" t="str">
        <f ca="1">IFERROR(__xludf.DUMMYFUNCTION("""COMPUTED_VALUE"""),"Tushita	Negi")</f>
        <v>Tushita	Negi</v>
      </c>
      <c r="BF19" s="28"/>
      <c r="BG19" s="28"/>
      <c r="BH19" s="28"/>
      <c r="BI19" s="28"/>
      <c r="BJ19" s="28"/>
      <c r="BK19" s="28"/>
      <c r="BL19" s="28"/>
      <c r="BM19" s="28" t="str">
        <f ca="1">IFERROR(__xludf.DUMMYFUNCTION("""COMPUTED_VALUE"""),"Maria Fernanda Castillo Cuellar")</f>
        <v>Maria Fernanda Castillo Cuellar</v>
      </c>
      <c r="BN19" s="28" t="str">
        <f ca="1">IFERROR(__xludf.DUMMYFUNCTION("""COMPUTED_VALUE"""),"Tushita Negi")</f>
        <v>Tushita Negi</v>
      </c>
      <c r="BO19" s="29"/>
      <c r="BP19" s="29" t="str">
        <f ca="1">IFERROR(__xludf.DUMMYFUNCTION("""COMPUTED_VALUE"""),"Roxane	Husain")</f>
        <v>Roxane	Husain</v>
      </c>
      <c r="BQ19" s="29" t="str">
        <f ca="1">IFERROR(__xludf.DUMMYFUNCTION("""COMPUTED_VALUE"""),"Adrian	Muwonge")</f>
        <v>Adrian	Muwonge</v>
      </c>
      <c r="BR19" s="29" t="str">
        <f ca="1">IFERROR(__xludf.DUMMYFUNCTION("""COMPUTED_VALUE"""),"Mateo Andrés	BenÍtez Lara")</f>
        <v>Mateo Andrés	BenÍtez Lara</v>
      </c>
      <c r="BS19" s="29" t="str">
        <f ca="1">IFERROR(__xludf.DUMMYFUNCTION("""COMPUTED_VALUE"""),"Maithe Antonia	Gonzalez Concha")</f>
        <v>Maithe Antonia	Gonzalez Concha</v>
      </c>
      <c r="BT19" s="29" t="str">
        <f ca="1">IFERROR(__xludf.DUMMYFUNCTION("""COMPUTED_VALUE"""),"Anna Eleanor	Nalezny")</f>
        <v>Anna Eleanor	Nalezny</v>
      </c>
      <c r="BU19" s="30" t="str">
        <f ca="1">IFERROR(__xludf.DUMMYFUNCTION("""COMPUTED_VALUE"""),"Eileen Laurie	Hagan")</f>
        <v>Eileen Laurie	Hagan</v>
      </c>
      <c r="BV19" s="30" t="str">
        <f ca="1">IFERROR(__xludf.DUMMYFUNCTION("""COMPUTED_VALUE"""),"Oslin Smith	Irigoyen Alvarado")</f>
        <v>Oslin Smith	Irigoyen Alvarado</v>
      </c>
      <c r="BW19" s="30"/>
      <c r="BX19" s="30" t="str">
        <f ca="1">IFERROR(__xludf.DUMMYFUNCTION("""COMPUTED_VALUE"""),"Luis	Lozano Samper")</f>
        <v>Luis	Lozano Samper</v>
      </c>
      <c r="BY19" s="30" t="str">
        <f ca="1">IFERROR(__xludf.DUMMYFUNCTION("""COMPUTED_VALUE"""),"Tenzin Norsang")</f>
        <v>Tenzin Norsang</v>
      </c>
      <c r="BZ19" s="30" t="str">
        <f ca="1">IFERROR(__xludf.DUMMYFUNCTION("""COMPUTED_VALUE"""),"Zachary Lewis	Evans")</f>
        <v>Zachary Lewis	Evans</v>
      </c>
      <c r="CA19" s="30"/>
      <c r="CB19" s="31"/>
      <c r="CC19" s="31"/>
      <c r="CD19" s="31"/>
      <c r="CE19" s="31"/>
      <c r="CF19" s="31"/>
      <c r="CG19" s="31"/>
      <c r="CH19" s="31"/>
      <c r="CI19" s="31"/>
      <c r="CJ19" s="31"/>
      <c r="CK19" s="31"/>
    </row>
    <row r="20" spans="1:89" x14ac:dyDescent="0.2">
      <c r="A20" s="32">
        <f ca="1">IFERROR(__xludf.DUMMYFUNCTION("""COMPUTED_VALUE"""),13)</f>
        <v>13</v>
      </c>
      <c r="B20" s="35"/>
      <c r="C20" s="27"/>
      <c r="D20" s="27"/>
      <c r="E20" s="27"/>
      <c r="F20" s="27" t="str">
        <f ca="1">IFERROR(__xludf.DUMMYFUNCTION("""COMPUTED_VALUE"""),"Natasza Maria Obrycka")</f>
        <v>Natasza Maria Obrycka</v>
      </c>
      <c r="G20" s="27"/>
      <c r="H20" s="27"/>
      <c r="I20" s="27"/>
      <c r="J20" s="27"/>
      <c r="K20" s="27" t="str">
        <f ca="1">IFERROR(__xludf.DUMMYFUNCTION("""COMPUTED_VALUE"""),"Sonam Deywa	Jamtsho")</f>
        <v>Sonam Deywa	Jamtsho</v>
      </c>
      <c r="L20" s="27"/>
      <c r="M20" s="27"/>
      <c r="N20" s="28"/>
      <c r="O20" s="28"/>
      <c r="P20" s="28"/>
      <c r="Q20" s="28" t="str">
        <f ca="1">IFERROR(__xludf.DUMMYFUNCTION("""COMPUTED_VALUE"""),"Maxime Gabin Dinard-Maucoeur")</f>
        <v>Maxime Gabin Dinard-Maucoeur</v>
      </c>
      <c r="R20" s="28"/>
      <c r="S20" s="28" t="str">
        <f ca="1">IFERROR(__xludf.DUMMYFUNCTION("""COMPUTED_VALUE"""),"Sampada Adhikari")</f>
        <v>Sampada Adhikari</v>
      </c>
      <c r="T20" s="28"/>
      <c r="U20" s="28"/>
      <c r="V20" s="28"/>
      <c r="W20" s="28"/>
      <c r="X20" s="28"/>
      <c r="Y20" s="28"/>
      <c r="Z20" s="29" t="str">
        <f ca="1">IFERROR(__xludf.DUMMYFUNCTION("""COMPUTED_VALUE"""),"Roxane	Husain")</f>
        <v>Roxane	Husain</v>
      </c>
      <c r="AA20" s="29"/>
      <c r="AB20" s="29"/>
      <c r="AC20" s="29"/>
      <c r="AD20" s="29"/>
      <c r="AE20" s="29"/>
      <c r="AF20" s="29" t="str">
        <f ca="1">IFERROR(__xludf.DUMMYFUNCTION("""COMPUTED_VALUE"""),"Zoey Briseida	Macias Garcia")</f>
        <v>Zoey Briseida	Macias Garcia</v>
      </c>
      <c r="AG20" s="29"/>
      <c r="AH20" s="29"/>
      <c r="AI20" s="29" t="str">
        <f ca="1">IFERROR(__xludf.DUMMYFUNCTION("""COMPUTED_VALUE"""),"Emilie Lisa Francese")</f>
        <v>Emilie Lisa Francese</v>
      </c>
      <c r="AJ20" s="29"/>
      <c r="AK20" s="29"/>
      <c r="AL20" s="29"/>
      <c r="AM20" s="29" t="str">
        <f ca="1">IFERROR(__xludf.DUMMYFUNCTION("""COMPUTED_VALUE"""),"Nika	Fransis")</f>
        <v>Nika	Fransis</v>
      </c>
      <c r="AN20" s="30"/>
      <c r="AO20" s="30"/>
      <c r="AP20" s="30" t="str">
        <f ca="1">IFERROR(__xludf.DUMMYFUNCTION("""COMPUTED_VALUE"""),"Yajur Ojha")</f>
        <v>Yajur Ojha</v>
      </c>
      <c r="AQ20" s="30"/>
      <c r="AR20" s="30"/>
      <c r="AS20" s="30"/>
      <c r="AT20" s="30"/>
      <c r="AU20" s="30"/>
      <c r="AV20" s="30"/>
      <c r="AW20" s="30" t="str">
        <f ca="1">IFERROR(__xludf.DUMMYFUNCTION("""COMPUTED_VALUE"""),"Sonam	Jourden")</f>
        <v>Sonam	Jourden</v>
      </c>
      <c r="AX20" s="27"/>
      <c r="AY20" s="27" t="str">
        <f ca="1">IFERROR(__xludf.DUMMYFUNCTION("""COMPUTED_VALUE"""),"Oslin Smith	Irigoyen Alvarado")</f>
        <v>Oslin Smith	Irigoyen Alvarado</v>
      </c>
      <c r="AZ20" s="27" t="str">
        <f ca="1">IFERROR(__xludf.DUMMYFUNCTION("""COMPUTED_VALUE"""),"Sonam Deywa Jamtsho")</f>
        <v>Sonam Deywa Jamtsho</v>
      </c>
      <c r="BA20" s="27"/>
      <c r="BB20" s="27"/>
      <c r="BC20" s="27"/>
      <c r="BD20" s="27" t="str">
        <f ca="1">IFERROR(__xludf.DUMMYFUNCTION("""COMPUTED_VALUE"""),"Noah Daniel	Burege")</f>
        <v>Noah Daniel	Burege</v>
      </c>
      <c r="BE20" s="27" t="str">
        <f ca="1">IFERROR(__xludf.DUMMYFUNCTION("""COMPUTED_VALUE"""),"Yajur	Ojha")</f>
        <v>Yajur	Ojha</v>
      </c>
      <c r="BF20" s="28"/>
      <c r="BG20" s="28"/>
      <c r="BH20" s="28"/>
      <c r="BI20" s="28"/>
      <c r="BJ20" s="28"/>
      <c r="BK20" s="28"/>
      <c r="BL20" s="28"/>
      <c r="BM20" s="28" t="str">
        <f ca="1">IFERROR(__xludf.DUMMYFUNCTION("""COMPUTED_VALUE"""),"Maria José Candelas Vargas")</f>
        <v>Maria José Candelas Vargas</v>
      </c>
      <c r="BN20" s="28" t="str">
        <f ca="1">IFERROR(__xludf.DUMMYFUNCTION("""COMPUTED_VALUE"""),"Adrian Muwonge")</f>
        <v>Adrian Muwonge</v>
      </c>
      <c r="BO20" s="29"/>
      <c r="BP20" s="29" t="str">
        <f ca="1">IFERROR(__xludf.DUMMYFUNCTION("""COMPUTED_VALUE"""),"Sonam	Jourden")</f>
        <v>Sonam	Jourden</v>
      </c>
      <c r="BQ20" s="29" t="str">
        <f ca="1">IFERROR(__xludf.DUMMYFUNCTION("""COMPUTED_VALUE"""),"Adrian Muwonge")</f>
        <v>Adrian Muwonge</v>
      </c>
      <c r="BR20" s="29" t="str">
        <f ca="1">IFERROR(__xludf.DUMMYFUNCTION("""COMPUTED_VALUE"""),"Nika	Fransis")</f>
        <v>Nika	Fransis</v>
      </c>
      <c r="BS20" s="29" t="str">
        <f ca="1">IFERROR(__xludf.DUMMYFUNCTION("""COMPUTED_VALUE"""),"Maria José	Candelas Vargas")</f>
        <v>Maria José	Candelas Vargas</v>
      </c>
      <c r="BT20" s="29" t="str">
        <f ca="1">IFERROR(__xludf.DUMMYFUNCTION("""COMPUTED_VALUE"""),"Darina Charlotte	Seumenicht")</f>
        <v>Darina Charlotte	Seumenicht</v>
      </c>
      <c r="BU20" s="30" t="str">
        <f ca="1">IFERROR(__xludf.DUMMYFUNCTION("""COMPUTED_VALUE"""),"Richesse Kadima Tshibangu")</f>
        <v>Richesse Kadima Tshibangu</v>
      </c>
      <c r="BV20" s="30" t="str">
        <f ca="1">IFERROR(__xludf.DUMMYFUNCTION("""COMPUTED_VALUE"""),"Rudy Eduardo	Siguan Ixcal")</f>
        <v>Rudy Eduardo	Siguan Ixcal</v>
      </c>
      <c r="BW20" s="30"/>
      <c r="BX20" s="30" t="str">
        <f ca="1">IFERROR(__xludf.DUMMYFUNCTION("""COMPUTED_VALUE"""),"Maithe Antonia	Gonzalez Concha")</f>
        <v>Maithe Antonia	Gonzalez Concha</v>
      </c>
      <c r="BY20" s="30" t="str">
        <f ca="1">IFERROR(__xludf.DUMMYFUNCTION("""COMPUTED_VALUE"""),"Alejandra        Bremont Straková")</f>
        <v>Alejandra        Bremont Straková</v>
      </c>
      <c r="BZ20" s="30" t="str">
        <f ca="1">IFERROR(__xludf.DUMMYFUNCTION("""COMPUTED_VALUE"""),"Teresa	Camarundin Campos")</f>
        <v>Teresa	Camarundin Campos</v>
      </c>
      <c r="CA20" s="30"/>
      <c r="CB20" s="31"/>
      <c r="CC20" s="31"/>
      <c r="CD20" s="31"/>
      <c r="CE20" s="31"/>
      <c r="CF20" s="31"/>
      <c r="CG20" s="31"/>
      <c r="CH20" s="31"/>
      <c r="CI20" s="31"/>
      <c r="CJ20" s="31"/>
      <c r="CK20" s="31"/>
    </row>
    <row r="21" spans="1:89" x14ac:dyDescent="0.2">
      <c r="A21" s="32">
        <f ca="1">IFERROR(__xludf.DUMMYFUNCTION("""COMPUTED_VALUE"""),14)</f>
        <v>14</v>
      </c>
      <c r="B21" s="35"/>
      <c r="C21" s="27"/>
      <c r="D21" s="27"/>
      <c r="E21" s="27"/>
      <c r="F21" s="27" t="str">
        <f ca="1">IFERROR(__xludf.DUMMYFUNCTION("""COMPUTED_VALUE"""),"Benjamín Tomás	Esteban Oppenheímer")</f>
        <v>Benjamín Tomás	Esteban Oppenheímer</v>
      </c>
      <c r="G21" s="27"/>
      <c r="H21" s="27"/>
      <c r="I21" s="27"/>
      <c r="J21" s="27"/>
      <c r="K21" s="27" t="str">
        <f ca="1">IFERROR(__xludf.DUMMYFUNCTION("""COMPUTED_VALUE"""),"Yajur	Ojha")</f>
        <v>Yajur	Ojha</v>
      </c>
      <c r="L21" s="27"/>
      <c r="M21" s="27"/>
      <c r="N21" s="28"/>
      <c r="O21" s="28"/>
      <c r="P21" s="28"/>
      <c r="Q21" s="28" t="str">
        <f ca="1">IFERROR(__xludf.DUMMYFUNCTION("""COMPUTED_VALUE"""),"Noah Daniel Burege")</f>
        <v>Noah Daniel Burege</v>
      </c>
      <c r="R21" s="28"/>
      <c r="S21" s="28" t="str">
        <f ca="1">IFERROR(__xludf.DUMMYFUNCTION("""COMPUTED_VALUE"""),"Sonam Jourden")</f>
        <v>Sonam Jourden</v>
      </c>
      <c r="T21" s="28"/>
      <c r="U21" s="28"/>
      <c r="V21" s="28"/>
      <c r="W21" s="28"/>
      <c r="X21" s="28"/>
      <c r="Y21" s="28"/>
      <c r="Z21" s="29" t="str">
        <f ca="1">IFERROR(__xludf.DUMMYFUNCTION("""COMPUTED_VALUE"""),"Lauren Dulce	Gonzales Veltman")</f>
        <v>Lauren Dulce	Gonzales Veltman</v>
      </c>
      <c r="AA21" s="29"/>
      <c r="AB21" s="29"/>
      <c r="AC21" s="29"/>
      <c r="AD21" s="29"/>
      <c r="AE21" s="29"/>
      <c r="AF21" s="29" t="str">
        <f ca="1">IFERROR(__xludf.DUMMYFUNCTION("""COMPUTED_VALUE"""),"Tenzin Norsang")</f>
        <v>Tenzin Norsang</v>
      </c>
      <c r="AG21" s="29"/>
      <c r="AH21" s="29"/>
      <c r="AI21" s="29"/>
      <c r="AJ21" s="29"/>
      <c r="AK21" s="29"/>
      <c r="AL21" s="29"/>
      <c r="AM21" s="29" t="str">
        <f ca="1">IFERROR(__xludf.DUMMYFUNCTION("""COMPUTED_VALUE"""),"Noah Daniel	Burege")</f>
        <v>Noah Daniel	Burege</v>
      </c>
      <c r="AN21" s="30"/>
      <c r="AO21" s="30"/>
      <c r="AP21" s="30"/>
      <c r="AQ21" s="30"/>
      <c r="AR21" s="30"/>
      <c r="AS21" s="30"/>
      <c r="AT21" s="30"/>
      <c r="AU21" s="30"/>
      <c r="AV21" s="30"/>
      <c r="AW21" s="30" t="str">
        <f ca="1">IFERROR(__xludf.DUMMYFUNCTION("""COMPUTED_VALUE"""),"Laura Camila        Zamora Chamorro")</f>
        <v>Laura Camila        Zamora Chamorro</v>
      </c>
      <c r="AX21" s="27"/>
      <c r="AY21" s="27" t="str">
        <f ca="1">IFERROR(__xludf.DUMMYFUNCTION("""COMPUTED_VALUE"""),"Zoey Briseida	Macias Garcia")</f>
        <v>Zoey Briseida	Macias Garcia</v>
      </c>
      <c r="AZ21" s="27" t="str">
        <f ca="1">IFERROR(__xludf.DUMMYFUNCTION("""COMPUTED_VALUE"""),"Chimme Pema Selden")</f>
        <v>Chimme Pema Selden</v>
      </c>
      <c r="BA21" s="27"/>
      <c r="BB21" s="27"/>
      <c r="BC21" s="27"/>
      <c r="BD21" s="27" t="str">
        <f ca="1">IFERROR(__xludf.DUMMYFUNCTION("""COMPUTED_VALUE"""),"Rosa Elizabeth Balaguer	Davis")</f>
        <v>Rosa Elizabeth Balaguer	Davis</v>
      </c>
      <c r="BE21" s="27" t="str">
        <f ca="1">IFERROR(__xludf.DUMMYFUNCTION("""COMPUTED_VALUE"""),"Lauren Dulce	Gonzales Veltman")</f>
        <v>Lauren Dulce	Gonzales Veltman</v>
      </c>
      <c r="BF21" s="28"/>
      <c r="BG21" s="28"/>
      <c r="BH21" s="28"/>
      <c r="BI21" s="28"/>
      <c r="BJ21" s="28"/>
      <c r="BK21" s="28"/>
      <c r="BL21" s="28"/>
      <c r="BM21" s="28" t="str">
        <f ca="1">IFERROR(__xludf.DUMMYFUNCTION("""COMPUTED_VALUE"""),"Sebastián Roberto Sánchez Obregón")</f>
        <v>Sebastián Roberto Sánchez Obregón</v>
      </c>
      <c r="BN21" s="28"/>
      <c r="BO21" s="29"/>
      <c r="BP21" s="29" t="str">
        <f ca="1">IFERROR(__xludf.DUMMYFUNCTION("""COMPUTED_VALUE"""),"
Teresa	Camarundin Campos")</f>
        <v xml:space="preserve">
Teresa	Camarundin Campos</v>
      </c>
      <c r="BQ21" s="29" t="str">
        <f ca="1">IFERROR(__xludf.DUMMYFUNCTION("""COMPUTED_VALUE"""),"Lauren Dulce	Gonzales Veltman")</f>
        <v>Lauren Dulce	Gonzales Veltman</v>
      </c>
      <c r="BR21" s="29" t="str">
        <f ca="1">IFERROR(__xludf.DUMMYFUNCTION("""COMPUTED_VALUE"""),"Oslin Smith	Irigoyen Alvarado")</f>
        <v>Oslin Smith	Irigoyen Alvarado</v>
      </c>
      <c r="BS21" s="29" t="str">
        <f ca="1">IFERROR(__xludf.DUMMYFUNCTION("""COMPUTED_VALUE"""),"Sebastián Roberto	Sánchez Obregón")</f>
        <v>Sebastián Roberto	Sánchez Obregón</v>
      </c>
      <c r="BT21" s="29" t="str">
        <f ca="1">IFERROR(__xludf.DUMMYFUNCTION("""COMPUTED_VALUE"""),"Eldar	Musayev")</f>
        <v>Eldar	Musayev</v>
      </c>
      <c r="BU21" s="30" t="str">
        <f ca="1">IFERROR(__xludf.DUMMYFUNCTION("""COMPUTED_VALUE"""),"Gael Kalenga Kabale")</f>
        <v>Gael Kalenga Kabale</v>
      </c>
      <c r="BV21" s="30" t="str">
        <f ca="1">IFERROR(__xludf.DUMMYFUNCTION("""COMPUTED_VALUE"""),"Adrian	Muwonge")</f>
        <v>Adrian	Muwonge</v>
      </c>
      <c r="BW21" s="30"/>
      <c r="BX21" s="30" t="str">
        <f ca="1">IFERROR(__xludf.DUMMYFUNCTION("""COMPUTED_VALUE"""),"Marek Daniel	Barančík")</f>
        <v>Marek Daniel	Barančík</v>
      </c>
      <c r="BY21" s="30" t="str">
        <f ca="1">IFERROR(__xludf.DUMMYFUNCTION("""COMPUTED_VALUE"""),"Natasza Maria	Obrycka")</f>
        <v>Natasza Maria	Obrycka</v>
      </c>
      <c r="BZ21" s="30" t="str">
        <f ca="1">IFERROR(__xludf.DUMMYFUNCTION("""COMPUTED_VALUE"""),"Yajur   Ojha")</f>
        <v>Yajur   Ojha</v>
      </c>
      <c r="CA21" s="30"/>
      <c r="CB21" s="31"/>
      <c r="CC21" s="31"/>
      <c r="CD21" s="31"/>
      <c r="CE21" s="31"/>
      <c r="CF21" s="31"/>
      <c r="CG21" s="31"/>
      <c r="CH21" s="31"/>
      <c r="CI21" s="31"/>
      <c r="CJ21" s="31"/>
      <c r="CK21" s="31"/>
    </row>
    <row r="22" spans="1:89" x14ac:dyDescent="0.2">
      <c r="A22" s="32">
        <f ca="1">IFERROR(__xludf.DUMMYFUNCTION("""COMPUTED_VALUE"""),15)</f>
        <v>15</v>
      </c>
      <c r="B22" s="35"/>
      <c r="C22" s="27"/>
      <c r="D22" s="27"/>
      <c r="E22" s="27"/>
      <c r="F22" s="27" t="str">
        <f ca="1">IFERROR(__xludf.DUMMYFUNCTION("""COMPUTED_VALUE"""),"Richesse Kadima Tshibangu")</f>
        <v>Richesse Kadima Tshibangu</v>
      </c>
      <c r="G22" s="27"/>
      <c r="H22" s="27"/>
      <c r="I22" s="27"/>
      <c r="J22" s="27"/>
      <c r="K22" s="27"/>
      <c r="L22" s="27"/>
      <c r="M22" s="27"/>
      <c r="N22" s="28"/>
      <c r="O22" s="28"/>
      <c r="P22" s="28"/>
      <c r="Q22" s="28" t="str">
        <f ca="1">IFERROR(__xludf.DUMMYFUNCTION("""COMPUTED_VALUE"""),"Roxane Husain")</f>
        <v>Roxane Husain</v>
      </c>
      <c r="R22" s="28"/>
      <c r="S22" s="28"/>
      <c r="T22" s="28"/>
      <c r="U22" s="28"/>
      <c r="V22" s="28"/>
      <c r="W22" s="28"/>
      <c r="X22" s="28"/>
      <c r="Y22" s="28"/>
      <c r="Z22" s="29"/>
      <c r="AA22" s="29"/>
      <c r="AB22" s="29"/>
      <c r="AC22" s="29"/>
      <c r="AD22" s="29"/>
      <c r="AE22" s="29"/>
      <c r="AF22" s="29" t="str">
        <f ca="1">IFERROR(__xludf.DUMMYFUNCTION("""COMPUTED_VALUE"""),"Namtran Thien	Tran")</f>
        <v>Namtran Thien	Tran</v>
      </c>
      <c r="AG22" s="29"/>
      <c r="AH22" s="29"/>
      <c r="AI22" s="29"/>
      <c r="AJ22" s="29"/>
      <c r="AK22" s="29"/>
      <c r="AL22" s="29"/>
      <c r="AM22" s="29" t="str">
        <f ca="1">IFERROR(__xludf.DUMMYFUNCTION("""COMPUTED_VALUE"""),"Oslin Smith	Irigoyen Alvarado")</f>
        <v>Oslin Smith	Irigoyen Alvarado</v>
      </c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27"/>
      <c r="AY22" s="27" t="str">
        <f ca="1">IFERROR(__xludf.DUMMYFUNCTION("""COMPUTED_VALUE"""),"Benjamín Tomás	Esteban Oppenheímer")</f>
        <v>Benjamín Tomás	Esteban Oppenheímer</v>
      </c>
      <c r="AZ22" s="27"/>
      <c r="BA22" s="27"/>
      <c r="BB22" s="27"/>
      <c r="BC22" s="27"/>
      <c r="BD22" s="27" t="str">
        <f ca="1">IFERROR(__xludf.DUMMYFUNCTION("""COMPUTED_VALUE"""),"Zachary Lewis	Evans")</f>
        <v>Zachary Lewis	Evans</v>
      </c>
      <c r="BE22" s="27"/>
      <c r="BF22" s="28"/>
      <c r="BG22" s="28"/>
      <c r="BH22" s="28"/>
      <c r="BI22" s="28"/>
      <c r="BJ22" s="28"/>
      <c r="BK22" s="28"/>
      <c r="BL22" s="28"/>
      <c r="BM22" s="28" t="str">
        <f ca="1">IFERROR(__xludf.DUMMYFUNCTION("""COMPUTED_VALUE"""),"Sofía Pagan Ortigas")</f>
        <v>Sofía Pagan Ortigas</v>
      </c>
      <c r="BN22" s="28"/>
      <c r="BO22" s="29"/>
      <c r="BP22" s="29" t="str">
        <f ca="1">IFERROR(__xludf.DUMMYFUNCTION("""COMPUTED_VALUE"""),"Zachary Lewis	Evans")</f>
        <v>Zachary Lewis	Evans</v>
      </c>
      <c r="BQ22" s="29"/>
      <c r="BR22" s="29" t="str">
        <f ca="1">IFERROR(__xludf.DUMMYFUNCTION("""COMPUTED_VALUE"""),"Rudy Eduardo	Siguan Ixcal")</f>
        <v>Rudy Eduardo	Siguan Ixcal</v>
      </c>
      <c r="BS22" s="29" t="str">
        <f ca="1">IFERROR(__xludf.DUMMYFUNCTION("""COMPUTED_VALUE"""),"Sofía	Pagan Ortigas")</f>
        <v>Sofía	Pagan Ortigas</v>
      </c>
      <c r="BT22" s="29"/>
      <c r="BU22" s="30"/>
      <c r="BV22" s="30" t="str">
        <f ca="1">IFERROR(__xludf.DUMMYFUNCTION("""COMPUTED_VALUE"""),"Daniel Marcelo	Vargas Mata")</f>
        <v>Daniel Marcelo	Vargas Mata</v>
      </c>
      <c r="BW22" s="30"/>
      <c r="BX22" s="30" t="str">
        <f ca="1">IFERROR(__xludf.DUMMYFUNCTION("""COMPUTED_VALUE"""),"Maria Fernanda	Castillo Cuellar")</f>
        <v>Maria Fernanda	Castillo Cuellar</v>
      </c>
      <c r="BY22" s="30"/>
      <c r="BZ22" s="30"/>
      <c r="CA22" s="30"/>
      <c r="CB22" s="31"/>
      <c r="CC22" s="31"/>
      <c r="CD22" s="31"/>
      <c r="CE22" s="31"/>
      <c r="CF22" s="31"/>
      <c r="CG22" s="31"/>
      <c r="CH22" s="31"/>
      <c r="CI22" s="31"/>
      <c r="CJ22" s="31"/>
      <c r="CK22" s="31"/>
    </row>
    <row r="23" spans="1:89" x14ac:dyDescent="0.2">
      <c r="A23" s="32">
        <f ca="1">IFERROR(__xludf.DUMMYFUNCTION("""COMPUTED_VALUE"""),16)</f>
        <v>16</v>
      </c>
      <c r="B23" s="35"/>
      <c r="C23" s="27"/>
      <c r="D23" s="27"/>
      <c r="E23" s="27"/>
      <c r="F23" s="27" t="str">
        <f ca="1">IFERROR(__xludf.DUMMYFUNCTION("""COMPUTED_VALUE"""),"Gael Kalenga Kabale")</f>
        <v>Gael Kalenga Kabale</v>
      </c>
      <c r="G23" s="27"/>
      <c r="H23" s="27"/>
      <c r="I23" s="27"/>
      <c r="J23" s="27"/>
      <c r="K23" s="27"/>
      <c r="L23" s="27"/>
      <c r="M23" s="27"/>
      <c r="N23" s="28"/>
      <c r="O23" s="28"/>
      <c r="P23" s="28"/>
      <c r="Q23" s="28" t="str">
        <f ca="1">IFERROR(__xludf.DUMMYFUNCTION("""COMPUTED_VALUE"""),"Sebastián Roberto Sánchez Obregón")</f>
        <v>Sebastián Roberto Sánchez Obregón</v>
      </c>
      <c r="R23" s="28"/>
      <c r="S23" s="28"/>
      <c r="T23" s="28"/>
      <c r="U23" s="28"/>
      <c r="V23" s="28"/>
      <c r="W23" s="28"/>
      <c r="X23" s="28"/>
      <c r="Y23" s="28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 t="str">
        <f ca="1">IFERROR(__xludf.DUMMYFUNCTION("""COMPUTED_VALUE"""),"Zachary Lewis	Evans")</f>
        <v>Zachary Lewis	Evans</v>
      </c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27"/>
      <c r="AY23" s="27"/>
      <c r="AZ23" s="27"/>
      <c r="BA23" s="27"/>
      <c r="BB23" s="27"/>
      <c r="BC23" s="27"/>
      <c r="BD23" s="27"/>
      <c r="BE23" s="27"/>
      <c r="BF23" s="28"/>
      <c r="BG23" s="28"/>
      <c r="BH23" s="28"/>
      <c r="BI23" s="28"/>
      <c r="BJ23" s="28"/>
      <c r="BK23" s="28"/>
      <c r="BL23" s="28"/>
      <c r="BM23" s="28" t="str">
        <f ca="1">IFERROR(__xludf.DUMMYFUNCTION("""COMPUTED_VALUE"""),"Zoey Briseida Macias Garcia")</f>
        <v>Zoey Briseida Macias Garcia</v>
      </c>
      <c r="BN23" s="28"/>
      <c r="BO23" s="29"/>
      <c r="BP23" s="29" t="str">
        <f ca="1">IFERROR(__xludf.DUMMYFUNCTION("""COMPUTED_VALUE"""),"Javier	Fuentes Hermoso")</f>
        <v>Javier	Fuentes Hermoso</v>
      </c>
      <c r="BQ23" s="29"/>
      <c r="BR23" s="29" t="str">
        <f ca="1">IFERROR(__xludf.DUMMYFUNCTION("""COMPUTED_VALUE"""),"Samuel Grey	Villarreal Montoya")</f>
        <v>Samuel Grey	Villarreal Montoya</v>
      </c>
      <c r="BS23" s="29" t="str">
        <f ca="1">IFERROR(__xludf.DUMMYFUNCTION("""COMPUTED_VALUE"""),"Zoey Briseida	Macias Garcia")</f>
        <v>Zoey Briseida	Macias Garcia</v>
      </c>
      <c r="BT23" s="29"/>
      <c r="BU23" s="30"/>
      <c r="BV23" s="30" t="str">
        <f ca="1">IFERROR(__xludf.DUMMYFUNCTION("""COMPUTED_VALUE"""),"Adrian Muwonge")</f>
        <v>Adrian Muwonge</v>
      </c>
      <c r="BW23" s="30"/>
      <c r="BX23" s="30" t="str">
        <f ca="1">IFERROR(__xludf.DUMMYFUNCTION("""COMPUTED_VALUE"""),"Nala Jasmina	Norsworthy")</f>
        <v>Nala Jasmina	Norsworthy</v>
      </c>
      <c r="BY23" s="30"/>
      <c r="BZ23" s="30"/>
      <c r="CA23" s="30"/>
      <c r="CB23" s="31"/>
      <c r="CC23" s="31"/>
      <c r="CD23" s="31"/>
      <c r="CE23" s="31"/>
      <c r="CF23" s="31"/>
      <c r="CG23" s="31"/>
      <c r="CH23" s="31"/>
      <c r="CI23" s="31"/>
      <c r="CJ23" s="31"/>
      <c r="CK23" s="31"/>
    </row>
    <row r="24" spans="1:89" x14ac:dyDescent="0.2">
      <c r="A24" s="32">
        <f ca="1">IFERROR(__xludf.DUMMYFUNCTION("""COMPUTED_VALUE"""),17)</f>
        <v>17</v>
      </c>
      <c r="B24" s="35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8"/>
      <c r="O24" s="28"/>
      <c r="P24" s="28"/>
      <c r="Q24" s="28" t="str">
        <f ca="1">IFERROR(__xludf.DUMMYFUNCTION("""COMPUTED_VALUE"""),"Teresa Camarundin Campos")</f>
        <v>Teresa Camarundin Campos</v>
      </c>
      <c r="R24" s="28"/>
      <c r="S24" s="28"/>
      <c r="T24" s="28"/>
      <c r="U24" s="28"/>
      <c r="V24" s="28"/>
      <c r="W24" s="28"/>
      <c r="X24" s="28"/>
      <c r="Y24" s="28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 t="str">
        <f ca="1">IFERROR(__xludf.DUMMYFUNCTION("""COMPUTED_VALUE"""),"Richesse        Kadima Tshibangu")</f>
        <v>Richesse        Kadima Tshibangu</v>
      </c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27"/>
      <c r="AY24" s="27"/>
      <c r="AZ24" s="27"/>
      <c r="BA24" s="27"/>
      <c r="BB24" s="27"/>
      <c r="BC24" s="27"/>
      <c r="BD24" s="27"/>
      <c r="BE24" s="27"/>
      <c r="BF24" s="28"/>
      <c r="BG24" s="28"/>
      <c r="BH24" s="28"/>
      <c r="BI24" s="28"/>
      <c r="BJ24" s="28"/>
      <c r="BK24" s="28"/>
      <c r="BL24" s="28"/>
      <c r="BM24" s="28"/>
      <c r="BN24" s="28"/>
      <c r="BO24" s="29"/>
      <c r="BP24" s="29"/>
      <c r="BQ24" s="29"/>
      <c r="BR24" s="29" t="str">
        <f ca="1">IFERROR(__xludf.DUMMYFUNCTION("""COMPUTED_VALUE"""),"Selma Medog	Gedon")</f>
        <v>Selma Medog	Gedon</v>
      </c>
      <c r="BS24" s="29"/>
      <c r="BT24" s="29"/>
      <c r="BU24" s="30"/>
      <c r="BV24" s="30"/>
      <c r="BW24" s="30"/>
      <c r="BX24" s="30" t="str">
        <f ca="1">IFERROR(__xludf.DUMMYFUNCTION("""COMPUTED_VALUE"""),"Rosa Elizabeth Balaguer	Davis")</f>
        <v>Rosa Elizabeth Balaguer	Davis</v>
      </c>
      <c r="BY24" s="30"/>
      <c r="BZ24" s="30"/>
      <c r="CA24" s="30"/>
      <c r="CB24" s="31"/>
      <c r="CC24" s="31"/>
      <c r="CD24" s="31"/>
      <c r="CE24" s="31"/>
      <c r="CF24" s="31"/>
      <c r="CG24" s="31"/>
      <c r="CH24" s="31"/>
      <c r="CI24" s="31"/>
      <c r="CJ24" s="31"/>
      <c r="CK24" s="31"/>
    </row>
    <row r="25" spans="1:89" x14ac:dyDescent="0.2">
      <c r="A25" s="32">
        <f ca="1">IFERROR(__xludf.DUMMYFUNCTION("""COMPUTED_VALUE"""),18)</f>
        <v>18</v>
      </c>
      <c r="B25" s="35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 t="str">
        <f ca="1">IFERROR(__xludf.DUMMYFUNCTION("""COMPUTED_VALUE"""),"Gael Kalenga Kabale")</f>
        <v>Gael Kalenga Kabale</v>
      </c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27"/>
      <c r="AY25" s="27"/>
      <c r="AZ25" s="27"/>
      <c r="BA25" s="27"/>
      <c r="BB25" s="27"/>
      <c r="BC25" s="27"/>
      <c r="BD25" s="27"/>
      <c r="BE25" s="27"/>
      <c r="BF25" s="28"/>
      <c r="BG25" s="28"/>
      <c r="BH25" s="28"/>
      <c r="BI25" s="28"/>
      <c r="BJ25" s="28"/>
      <c r="BK25" s="28"/>
      <c r="BL25" s="28"/>
      <c r="BM25" s="28"/>
      <c r="BN25" s="28"/>
      <c r="BO25" s="29"/>
      <c r="BP25" s="29"/>
      <c r="BQ25" s="29"/>
      <c r="BR25" s="29" t="str">
        <f ca="1">IFERROR(__xludf.DUMMYFUNCTION("""COMPUTED_VALUE"""),"Sragvi Umesh	Bhoyar")</f>
        <v>Sragvi Umesh	Bhoyar</v>
      </c>
      <c r="BS25" s="29"/>
      <c r="BT25" s="29"/>
      <c r="BU25" s="30"/>
      <c r="BV25" s="30"/>
      <c r="BW25" s="30"/>
      <c r="BX25" s="30" t="str">
        <f ca="1">IFERROR(__xludf.DUMMYFUNCTION("""COMPUTED_VALUE"""),"Selma Medog	Gedon")</f>
        <v>Selma Medog	Gedon</v>
      </c>
      <c r="BY25" s="30"/>
      <c r="BZ25" s="30"/>
      <c r="CA25" s="30"/>
      <c r="CB25" s="31"/>
      <c r="CC25" s="31"/>
      <c r="CD25" s="31"/>
      <c r="CE25" s="31"/>
      <c r="CF25" s="31"/>
      <c r="CG25" s="31"/>
      <c r="CH25" s="31"/>
      <c r="CI25" s="31"/>
      <c r="CJ25" s="31"/>
      <c r="CK25" s="31"/>
    </row>
    <row r="26" spans="1:89" x14ac:dyDescent="0.2">
      <c r="A26" s="32">
        <f ca="1">IFERROR(__xludf.DUMMYFUNCTION("""COMPUTED_VALUE"""),19)</f>
        <v>19</v>
      </c>
      <c r="B26" s="35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27"/>
      <c r="AY26" s="27"/>
      <c r="AZ26" s="27"/>
      <c r="BA26" s="27"/>
      <c r="BB26" s="27"/>
      <c r="BC26" s="27"/>
      <c r="BD26" s="27"/>
      <c r="BE26" s="27"/>
      <c r="BF26" s="28"/>
      <c r="BG26" s="28"/>
      <c r="BH26" s="28"/>
      <c r="BI26" s="28"/>
      <c r="BJ26" s="28"/>
      <c r="BK26" s="28"/>
      <c r="BL26" s="28"/>
      <c r="BM26" s="28"/>
      <c r="BN26" s="28"/>
      <c r="BO26" s="29"/>
      <c r="BP26" s="29"/>
      <c r="BQ26" s="29"/>
      <c r="BR26" s="29" t="str">
        <f ca="1">IFERROR(__xludf.DUMMYFUNCTION("""COMPUTED_VALUE"""),"Benjamín Tomás	Esteban Oppenheímer")</f>
        <v>Benjamín Tomás	Esteban Oppenheímer</v>
      </c>
      <c r="BS26" s="29"/>
      <c r="BT26" s="29"/>
      <c r="BU26" s="30"/>
      <c r="BV26" s="30"/>
      <c r="BW26" s="30"/>
      <c r="BX26" s="30" t="str">
        <f ca="1">IFERROR(__xludf.DUMMYFUNCTION("""COMPUTED_VALUE"""),"Sofía   Pagan Ortigas")</f>
        <v>Sofía   Pagan Ortigas</v>
      </c>
      <c r="BY26" s="30"/>
      <c r="BZ26" s="30"/>
      <c r="CA26" s="30"/>
      <c r="CB26" s="31"/>
      <c r="CC26" s="31"/>
      <c r="CD26" s="31"/>
      <c r="CE26" s="31"/>
      <c r="CF26" s="31"/>
      <c r="CG26" s="31"/>
      <c r="CH26" s="31"/>
      <c r="CI26" s="31"/>
      <c r="CJ26" s="31"/>
      <c r="CK26" s="31"/>
    </row>
    <row r="27" spans="1:89" x14ac:dyDescent="0.2">
      <c r="A27" s="32">
        <f ca="1">IFERROR(__xludf.DUMMYFUNCTION("""COMPUTED_VALUE"""),20)</f>
        <v>20</v>
      </c>
      <c r="B27" s="35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27"/>
      <c r="AY27" s="27"/>
      <c r="AZ27" s="27"/>
      <c r="BA27" s="27"/>
      <c r="BB27" s="27"/>
      <c r="BC27" s="27"/>
      <c r="BD27" s="27"/>
      <c r="BE27" s="27"/>
      <c r="BF27" s="28"/>
      <c r="BG27" s="28"/>
      <c r="BH27" s="28"/>
      <c r="BI27" s="28"/>
      <c r="BJ27" s="28"/>
      <c r="BK27" s="28"/>
      <c r="BL27" s="28"/>
      <c r="BM27" s="28"/>
      <c r="BN27" s="28"/>
      <c r="BO27" s="29"/>
      <c r="BP27" s="29"/>
      <c r="BQ27" s="29"/>
      <c r="BR27" s="29" t="str">
        <f ca="1">IFERROR(__xludf.DUMMYFUNCTION("""COMPUTED_VALUE"""),"Tenzin Norsang")</f>
        <v>Tenzin Norsang</v>
      </c>
      <c r="BS27" s="29"/>
      <c r="BT27" s="29"/>
      <c r="BU27" s="30"/>
      <c r="BV27" s="30"/>
      <c r="BW27" s="30"/>
      <c r="BX27" s="30" t="str">
        <f ca="1">IFERROR(__xludf.DUMMYFUNCTION("""COMPUTED_VALUE"""),"Sophia Jasmine	Binti Shahriman")</f>
        <v>Sophia Jasmine	Binti Shahriman</v>
      </c>
      <c r="BY27" s="30"/>
      <c r="BZ27" s="30"/>
      <c r="CA27" s="30"/>
      <c r="CB27" s="31"/>
      <c r="CC27" s="31"/>
      <c r="CD27" s="31"/>
      <c r="CE27" s="31"/>
      <c r="CF27" s="31"/>
      <c r="CG27" s="31"/>
      <c r="CH27" s="31"/>
      <c r="CI27" s="31"/>
      <c r="CJ27" s="31"/>
      <c r="CK27" s="31"/>
    </row>
    <row r="28" spans="1:89" x14ac:dyDescent="0.2">
      <c r="A28" s="32">
        <f ca="1">IFERROR(__xludf.DUMMYFUNCTION("""COMPUTED_VALUE"""),21)</f>
        <v>21</v>
      </c>
      <c r="B28" s="35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27"/>
      <c r="AY28" s="27"/>
      <c r="AZ28" s="27"/>
      <c r="BA28" s="27"/>
      <c r="BB28" s="27"/>
      <c r="BC28" s="27"/>
      <c r="BD28" s="27"/>
      <c r="BE28" s="27"/>
      <c r="BF28" s="28"/>
      <c r="BG28" s="28"/>
      <c r="BH28" s="28"/>
      <c r="BI28" s="28"/>
      <c r="BJ28" s="28"/>
      <c r="BK28" s="28"/>
      <c r="BL28" s="28"/>
      <c r="BM28" s="28"/>
      <c r="BN28" s="28"/>
      <c r="BO28" s="29"/>
      <c r="BP28" s="29"/>
      <c r="BQ28" s="29"/>
      <c r="BR28" s="29"/>
      <c r="BS28" s="29"/>
      <c r="BT28" s="29"/>
      <c r="BU28" s="30"/>
      <c r="BV28" s="30"/>
      <c r="BW28" s="30"/>
      <c r="BX28" s="30" t="str">
        <f ca="1">IFERROR(__xludf.DUMMYFUNCTION("""COMPUTED_VALUE"""),"Theope Selene	Kassimati Agiorgiti")</f>
        <v>Theope Selene	Kassimati Agiorgiti</v>
      </c>
      <c r="BY28" s="30"/>
      <c r="BZ28" s="30"/>
      <c r="CA28" s="30"/>
      <c r="CB28" s="31"/>
      <c r="CC28" s="31"/>
      <c r="CD28" s="31"/>
      <c r="CE28" s="31"/>
      <c r="CF28" s="31"/>
      <c r="CG28" s="31"/>
      <c r="CH28" s="31"/>
      <c r="CI28" s="31"/>
      <c r="CJ28" s="31"/>
      <c r="CK28" s="31"/>
    </row>
    <row r="29" spans="1:89" x14ac:dyDescent="0.2">
      <c r="A29" s="32">
        <f ca="1">IFERROR(__xludf.DUMMYFUNCTION("""COMPUTED_VALUE"""),22)</f>
        <v>22</v>
      </c>
      <c r="B29" s="35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27"/>
      <c r="AY29" s="27"/>
      <c r="AZ29" s="27"/>
      <c r="BA29" s="27"/>
      <c r="BB29" s="27"/>
      <c r="BC29" s="27"/>
      <c r="BD29" s="27"/>
      <c r="BE29" s="27"/>
      <c r="BF29" s="28"/>
      <c r="BG29" s="28"/>
      <c r="BH29" s="28"/>
      <c r="BI29" s="28"/>
      <c r="BJ29" s="28"/>
      <c r="BK29" s="28"/>
      <c r="BL29" s="28"/>
      <c r="BM29" s="28"/>
      <c r="BN29" s="28"/>
      <c r="BO29" s="29"/>
      <c r="BP29" s="29"/>
      <c r="BQ29" s="29"/>
      <c r="BR29" s="29"/>
      <c r="BS29" s="29"/>
      <c r="BT29" s="29"/>
      <c r="BU29" s="30"/>
      <c r="BV29" s="30"/>
      <c r="BW29" s="30"/>
      <c r="BX29" s="30"/>
      <c r="BY29" s="30"/>
      <c r="BZ29" s="30"/>
      <c r="CA29" s="30"/>
      <c r="CB29" s="31"/>
      <c r="CC29" s="31"/>
      <c r="CD29" s="31"/>
      <c r="CE29" s="31"/>
      <c r="CF29" s="31"/>
      <c r="CG29" s="31"/>
      <c r="CH29" s="31"/>
      <c r="CI29" s="31"/>
      <c r="CJ29" s="31"/>
      <c r="CK29" s="31"/>
    </row>
    <row r="30" spans="1:89" x14ac:dyDescent="0.2">
      <c r="A30" s="32">
        <f ca="1">IFERROR(__xludf.DUMMYFUNCTION("""COMPUTED_VALUE"""),23)</f>
        <v>23</v>
      </c>
      <c r="B30" s="35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27"/>
      <c r="AY30" s="27"/>
      <c r="AZ30" s="27"/>
      <c r="BA30" s="27"/>
      <c r="BB30" s="27"/>
      <c r="BC30" s="27"/>
      <c r="BD30" s="27"/>
      <c r="BE30" s="27"/>
      <c r="BF30" s="28"/>
      <c r="BG30" s="28"/>
      <c r="BH30" s="28"/>
      <c r="BI30" s="28"/>
      <c r="BJ30" s="28"/>
      <c r="BK30" s="28"/>
      <c r="BL30" s="28"/>
      <c r="BM30" s="28"/>
      <c r="BN30" s="28"/>
      <c r="BO30" s="29"/>
      <c r="BP30" s="29"/>
      <c r="BQ30" s="29"/>
      <c r="BR30" s="29"/>
      <c r="BS30" s="29"/>
      <c r="BT30" s="29"/>
      <c r="BU30" s="30"/>
      <c r="BV30" s="30"/>
      <c r="BW30" s="30"/>
      <c r="BX30" s="30"/>
      <c r="BY30" s="30"/>
      <c r="BZ30" s="30"/>
      <c r="CA30" s="30"/>
      <c r="CB30" s="31"/>
      <c r="CC30" s="31"/>
      <c r="CD30" s="31"/>
      <c r="CE30" s="31"/>
      <c r="CF30" s="31"/>
      <c r="CG30" s="31"/>
      <c r="CH30" s="31"/>
      <c r="CI30" s="31"/>
      <c r="CJ30" s="31"/>
      <c r="CK30" s="31"/>
    </row>
    <row r="31" spans="1:89" x14ac:dyDescent="0.2">
      <c r="A31" s="32">
        <f ca="1">IFERROR(__xludf.DUMMYFUNCTION("""COMPUTED_VALUE"""),24)</f>
        <v>24</v>
      </c>
      <c r="B31" s="35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27"/>
      <c r="AY31" s="27"/>
      <c r="AZ31" s="27"/>
      <c r="BA31" s="27"/>
      <c r="BB31" s="27"/>
      <c r="BC31" s="27"/>
      <c r="BD31" s="27"/>
      <c r="BE31" s="27"/>
      <c r="BF31" s="28"/>
      <c r="BG31" s="28"/>
      <c r="BH31" s="28"/>
      <c r="BI31" s="28"/>
      <c r="BJ31" s="28"/>
      <c r="BK31" s="28"/>
      <c r="BL31" s="28"/>
      <c r="BM31" s="28"/>
      <c r="BN31" s="28"/>
      <c r="BO31" s="29"/>
      <c r="BP31" s="29"/>
      <c r="BQ31" s="29"/>
      <c r="BR31" s="29"/>
      <c r="BS31" s="29"/>
      <c r="BT31" s="29"/>
      <c r="BU31" s="30"/>
      <c r="BV31" s="30"/>
      <c r="BW31" s="30"/>
      <c r="BX31" s="30"/>
      <c r="BY31" s="30"/>
      <c r="BZ31" s="30"/>
      <c r="CA31" s="30"/>
      <c r="CB31" s="31"/>
      <c r="CC31" s="31"/>
      <c r="CD31" s="31"/>
      <c r="CE31" s="31"/>
      <c r="CF31" s="31"/>
      <c r="CG31" s="31"/>
      <c r="CH31" s="31"/>
      <c r="CI31" s="31"/>
      <c r="CJ31" s="31"/>
      <c r="CK31" s="31"/>
    </row>
    <row r="32" spans="1:89" x14ac:dyDescent="0.2">
      <c r="A32" s="32">
        <f ca="1">IFERROR(__xludf.DUMMYFUNCTION("""COMPUTED_VALUE"""),25)</f>
        <v>25</v>
      </c>
      <c r="B32" s="35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27"/>
      <c r="AY32" s="27"/>
      <c r="AZ32" s="27"/>
      <c r="BA32" s="27"/>
      <c r="BB32" s="27"/>
      <c r="BC32" s="27"/>
      <c r="BD32" s="27"/>
      <c r="BE32" s="27"/>
      <c r="BF32" s="28"/>
      <c r="BG32" s="28"/>
      <c r="BH32" s="28"/>
      <c r="BI32" s="28"/>
      <c r="BJ32" s="28"/>
      <c r="BK32" s="28"/>
      <c r="BL32" s="28"/>
      <c r="BM32" s="28"/>
      <c r="BN32" s="28"/>
      <c r="BO32" s="29"/>
      <c r="BP32" s="29"/>
      <c r="BQ32" s="29"/>
      <c r="BR32" s="29"/>
      <c r="BS32" s="29"/>
      <c r="BT32" s="29"/>
      <c r="BU32" s="30"/>
      <c r="BV32" s="30"/>
      <c r="BW32" s="30"/>
      <c r="BX32" s="30"/>
      <c r="BY32" s="30"/>
      <c r="BZ32" s="30"/>
      <c r="CA32" s="30"/>
      <c r="CB32" s="31"/>
      <c r="CC32" s="31"/>
      <c r="CD32" s="31"/>
      <c r="CE32" s="31"/>
      <c r="CF32" s="31"/>
      <c r="CG32" s="31"/>
      <c r="CH32" s="31"/>
      <c r="CI32" s="31"/>
      <c r="CJ32" s="31"/>
      <c r="CK32" s="31"/>
    </row>
    <row r="33" spans="1:89" x14ac:dyDescent="0.2">
      <c r="A33" s="32">
        <f ca="1">IFERROR(__xludf.DUMMYFUNCTION("""COMPUTED_VALUE"""),26)</f>
        <v>26</v>
      </c>
      <c r="B33" s="35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27"/>
      <c r="AY33" s="27"/>
      <c r="AZ33" s="27"/>
      <c r="BA33" s="27"/>
      <c r="BB33" s="27"/>
      <c r="BC33" s="27"/>
      <c r="BD33" s="27"/>
      <c r="BE33" s="27"/>
      <c r="BF33" s="28"/>
      <c r="BG33" s="28"/>
      <c r="BH33" s="28"/>
      <c r="BI33" s="28"/>
      <c r="BJ33" s="28"/>
      <c r="BK33" s="28"/>
      <c r="BL33" s="28"/>
      <c r="BM33" s="28"/>
      <c r="BN33" s="28"/>
      <c r="BO33" s="29"/>
      <c r="BP33" s="29"/>
      <c r="BQ33" s="29"/>
      <c r="BR33" s="29"/>
      <c r="BS33" s="29"/>
      <c r="BT33" s="29"/>
      <c r="BU33" s="30"/>
      <c r="BV33" s="30"/>
      <c r="BW33" s="30"/>
      <c r="BX33" s="30"/>
      <c r="BY33" s="30"/>
      <c r="BZ33" s="30"/>
      <c r="CA33" s="30"/>
      <c r="CB33" s="31"/>
      <c r="CC33" s="31"/>
      <c r="CD33" s="31"/>
      <c r="CE33" s="31"/>
      <c r="CF33" s="31"/>
      <c r="CG33" s="31"/>
      <c r="CH33" s="31"/>
      <c r="CI33" s="31"/>
      <c r="CJ33" s="31"/>
      <c r="CK33" s="31"/>
    </row>
    <row r="34" spans="1:89" ht="15.75" customHeight="1" x14ac:dyDescent="0.1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</row>
    <row r="35" spans="1:89" ht="15.75" customHeight="1" x14ac:dyDescent="0.1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</row>
    <row r="36" spans="1:89" ht="15.75" customHeight="1" x14ac:dyDescent="0.1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</row>
    <row r="37" spans="1:89" ht="15.75" customHeight="1" x14ac:dyDescent="0.1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</row>
    <row r="38" spans="1:89" ht="15.75" customHeight="1" x14ac:dyDescent="0.1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</row>
    <row r="39" spans="1:89" ht="15.75" customHeight="1" x14ac:dyDescent="0.1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</row>
    <row r="40" spans="1:89" ht="15.75" customHeight="1" x14ac:dyDescent="0.1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</row>
    <row r="41" spans="1:89" ht="15.75" customHeight="1" x14ac:dyDescent="0.1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</row>
    <row r="42" spans="1:89" ht="15.75" customHeight="1" x14ac:dyDescent="0.1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</row>
  </sheetData>
  <mergeCells count="94">
    <mergeCell ref="AF5:AG5"/>
    <mergeCell ref="AI5:AJ5"/>
    <mergeCell ref="U5:V5"/>
    <mergeCell ref="X5:Y5"/>
    <mergeCell ref="Z5:AA5"/>
    <mergeCell ref="AB5:AC5"/>
    <mergeCell ref="AD5:AE5"/>
    <mergeCell ref="AK5:AL5"/>
    <mergeCell ref="AN5:AO5"/>
    <mergeCell ref="AP5:AQ5"/>
    <mergeCell ref="AS5:AT5"/>
    <mergeCell ref="AU5:AV5"/>
    <mergeCell ref="AU2:AV2"/>
    <mergeCell ref="AD4:AE4"/>
    <mergeCell ref="AF4:AG4"/>
    <mergeCell ref="AI4:AJ4"/>
    <mergeCell ref="AK4:AL4"/>
    <mergeCell ref="AN4:AO4"/>
    <mergeCell ref="AP4:AQ4"/>
    <mergeCell ref="AS4:AT4"/>
    <mergeCell ref="AU4:AV4"/>
    <mergeCell ref="AD2:AE2"/>
    <mergeCell ref="AF2:AG2"/>
    <mergeCell ref="AI2:AJ2"/>
    <mergeCell ref="AK2:AL2"/>
    <mergeCell ref="AN2:AO2"/>
    <mergeCell ref="AP2:AQ2"/>
    <mergeCell ref="AS2:AT2"/>
    <mergeCell ref="AF1:AG1"/>
    <mergeCell ref="AI1:AJ1"/>
    <mergeCell ref="C1:D1"/>
    <mergeCell ref="I1:J1"/>
    <mergeCell ref="O1:P1"/>
    <mergeCell ref="Q1:R1"/>
    <mergeCell ref="S1:T1"/>
    <mergeCell ref="U1:V1"/>
    <mergeCell ref="X1:Y1"/>
    <mergeCell ref="Z1:AA1"/>
    <mergeCell ref="AB1:AC1"/>
    <mergeCell ref="AD1:AE1"/>
    <mergeCell ref="AK1:AL1"/>
    <mergeCell ref="AN1:AO1"/>
    <mergeCell ref="AP1:AQ1"/>
    <mergeCell ref="AS1:AT1"/>
    <mergeCell ref="AU1:AV1"/>
    <mergeCell ref="AS7:AT7"/>
    <mergeCell ref="AU7:AV7"/>
    <mergeCell ref="U7:V7"/>
    <mergeCell ref="X7:Y7"/>
    <mergeCell ref="Z7:AA7"/>
    <mergeCell ref="AB7:AC7"/>
    <mergeCell ref="AD7:AE7"/>
    <mergeCell ref="AF7:AG7"/>
    <mergeCell ref="AI7:AJ7"/>
    <mergeCell ref="Q7:R7"/>
    <mergeCell ref="S7:T7"/>
    <mergeCell ref="AK7:AL7"/>
    <mergeCell ref="AN7:AO7"/>
    <mergeCell ref="AP7:AQ7"/>
    <mergeCell ref="C7:D7"/>
    <mergeCell ref="G7:H7"/>
    <mergeCell ref="I7:J7"/>
    <mergeCell ref="L7:M7"/>
    <mergeCell ref="O7:P7"/>
    <mergeCell ref="Q5:R5"/>
    <mergeCell ref="S5:T5"/>
    <mergeCell ref="G1:H1"/>
    <mergeCell ref="G2:H2"/>
    <mergeCell ref="C4:D4"/>
    <mergeCell ref="G4:H4"/>
    <mergeCell ref="I4:J4"/>
    <mergeCell ref="G5:H5"/>
    <mergeCell ref="I5:J5"/>
    <mergeCell ref="C2:D2"/>
    <mergeCell ref="I2:J2"/>
    <mergeCell ref="S2:T2"/>
    <mergeCell ref="L1:M1"/>
    <mergeCell ref="L2:M2"/>
    <mergeCell ref="L4:M4"/>
    <mergeCell ref="L5:M5"/>
    <mergeCell ref="O5:P5"/>
    <mergeCell ref="Z4:AA4"/>
    <mergeCell ref="AB4:AC4"/>
    <mergeCell ref="O2:P2"/>
    <mergeCell ref="Q2:R2"/>
    <mergeCell ref="O4:P4"/>
    <mergeCell ref="Q4:R4"/>
    <mergeCell ref="S4:T4"/>
    <mergeCell ref="U4:V4"/>
    <mergeCell ref="X4:Y4"/>
    <mergeCell ref="U2:V2"/>
    <mergeCell ref="X2:Y2"/>
    <mergeCell ref="Z2:AA2"/>
    <mergeCell ref="AB2:A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Elliott Friedrich(k)</cp:lastModifiedBy>
  <dcterms:modified xsi:type="dcterms:W3CDTF">2026-08-27T23:59:32Z</dcterms:modified>
</cp:coreProperties>
</file>