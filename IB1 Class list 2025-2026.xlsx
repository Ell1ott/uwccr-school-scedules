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B 1 Class Lists" sheetId="1" r:id="rId5"/>
  </sheets>
  <definedNames/>
  <calcPr/>
</workbook>
</file>

<file path=xl/sharedStrings.xml><?xml version="1.0" encoding="utf-8"?>
<sst xmlns="http://schemas.openxmlformats.org/spreadsheetml/2006/main" count="919" uniqueCount="308">
  <si>
    <t>A</t>
  </si>
  <si>
    <t>B</t>
  </si>
  <si>
    <t>C</t>
  </si>
  <si>
    <t>D</t>
  </si>
  <si>
    <t>E</t>
  </si>
  <si>
    <t>F</t>
  </si>
  <si>
    <t>G</t>
  </si>
  <si>
    <t>H</t>
  </si>
  <si>
    <t>Subject</t>
  </si>
  <si>
    <t>English LangLit</t>
  </si>
  <si>
    <t>Global Politics/Política Global</t>
  </si>
  <si>
    <t>Historia</t>
  </si>
  <si>
    <t>Economics</t>
  </si>
  <si>
    <t>Chemistry</t>
  </si>
  <si>
    <t>Visual Arts</t>
  </si>
  <si>
    <t>English Lit</t>
  </si>
  <si>
    <t>Spanish LangLit</t>
  </si>
  <si>
    <t>Spanish B</t>
  </si>
  <si>
    <t>Anthropology</t>
  </si>
  <si>
    <t>Biology</t>
  </si>
  <si>
    <t>Physics</t>
  </si>
  <si>
    <t>English B</t>
  </si>
  <si>
    <t>Psychology</t>
  </si>
  <si>
    <t>TOK</t>
  </si>
  <si>
    <t>Maths AA</t>
  </si>
  <si>
    <t>Theatre</t>
  </si>
  <si>
    <t>TDC</t>
  </si>
  <si>
    <t>Spanish AB</t>
  </si>
  <si>
    <t xml:space="preserve">Maths AI </t>
  </si>
  <si>
    <t>English LangLit SL</t>
  </si>
  <si>
    <t>ESS</t>
  </si>
  <si>
    <t>Sistemas</t>
  </si>
  <si>
    <t>Maths AI</t>
  </si>
  <si>
    <t>Spanish LangLit SL</t>
  </si>
  <si>
    <t>Spanish Ab Initio</t>
  </si>
  <si>
    <t>Maths AI (in Spanish)</t>
  </si>
  <si>
    <t>SSST Lit</t>
  </si>
  <si>
    <t>Level</t>
  </si>
  <si>
    <t>HL</t>
  </si>
  <si>
    <t>SL</t>
  </si>
  <si>
    <t>TK</t>
  </si>
  <si>
    <t>Teacher</t>
  </si>
  <si>
    <t>Sofía</t>
  </si>
  <si>
    <t>Constanza</t>
  </si>
  <si>
    <t>Norman</t>
  </si>
  <si>
    <t>Brian</t>
  </si>
  <si>
    <t>Karina</t>
  </si>
  <si>
    <t>Melissa</t>
  </si>
  <si>
    <t>Emiel</t>
  </si>
  <si>
    <t>Rolando</t>
  </si>
  <si>
    <t>Ana Teresa</t>
  </si>
  <si>
    <t>Jeff Lile</t>
  </si>
  <si>
    <t>Jeff N.</t>
  </si>
  <si>
    <t>Erick</t>
  </si>
  <si>
    <t>Nicholas</t>
  </si>
  <si>
    <t>Karlina</t>
  </si>
  <si>
    <t>QQ</t>
  </si>
  <si>
    <t>Carolina</t>
  </si>
  <si>
    <t>Andrés</t>
  </si>
  <si>
    <t>Christine</t>
  </si>
  <si>
    <t>Florian</t>
  </si>
  <si>
    <t>Chris</t>
  </si>
  <si>
    <t>Jaime</t>
  </si>
  <si>
    <t>Adriana</t>
  </si>
  <si>
    <t>Éricka</t>
  </si>
  <si>
    <t>Room</t>
  </si>
  <si>
    <t>No. per lev</t>
  </si>
  <si>
    <t>Total no. per class (cap = 18)</t>
  </si>
  <si>
    <t>Sofia        Tomasikova</t>
  </si>
  <si>
    <t>Daniel Alejandro Aparicio Canales</t>
  </si>
  <si>
    <t>Josie May Thomas</t>
  </si>
  <si>
    <t>Alina Araya Hernández</t>
  </si>
  <si>
    <t>Rosmeily de Jesús        Reyes</t>
  </si>
  <si>
    <t>Aarush Kumar</t>
  </si>
  <si>
    <t>Aryaka Bist</t>
  </si>
  <si>
    <t>Ana Lorena Alonzo</t>
  </si>
  <si>
    <t>Aileen Marcela López Díaz</t>
  </si>
  <si>
    <t>Laora	Servant</t>
  </si>
  <si>
    <t>Daniel Alejandro	Aparicio Canales</t>
  </si>
  <si>
    <t>Amaya Ridaura Meierwisch</t>
  </si>
  <si>
    <t>Anya Opal</t>
  </si>
  <si>
    <t>Jessica Lee	Hayduk</t>
  </si>
  <si>
    <t>Chieh-Ni (Janice) Yang</t>
  </si>
  <si>
    <t>Agne Mečkovskytė</t>
  </si>
  <si>
    <t>Alejandro Daniel Portillo Cabral</t>
  </si>
  <si>
    <t>Ana Lorena	Alonzo</t>
  </si>
  <si>
    <t>Ulrich	Mohrhdart Doger</t>
  </si>
  <si>
    <t>Aunati	Kumar</t>
  </si>
  <si>
    <t>Lydia Elizabeth Gathoni	Cummins-Mburu</t>
  </si>
  <si>
    <t>Catharina Johanna Mitzi Helena	Keller-With</t>
  </si>
  <si>
    <t>Chinoyerem Miracle Onyegbula</t>
  </si>
  <si>
    <t>Aye Chan	Pyae Zone</t>
  </si>
  <si>
    <t>Anya	Opal</t>
  </si>
  <si>
    <t>Kiran	Wilcke</t>
  </si>
  <si>
    <t>Jorge Alexander	Rivero Añez</t>
  </si>
  <si>
    <t>Florenz Levian	Krauß</t>
  </si>
  <si>
    <t>Naya        Niedermayr</t>
  </si>
  <si>
    <t>Aoife Jassami	Wade</t>
  </si>
  <si>
    <t>Anya        Opal</t>
  </si>
  <si>
    <t>Amelia Balwit</t>
  </si>
  <si>
    <t>Emely Johanya	López Torres</t>
  </si>
  <si>
    <t>Arianna	Candeloro</t>
  </si>
  <si>
    <t>Zoé Sara        Amat</t>
  </si>
  <si>
    <t>Bhim Prasad        Timalsina</t>
  </si>
  <si>
    <t>Aoife Jassami        Wade</t>
  </si>
  <si>
    <t>Aye Chan        Pyae Zone</t>
  </si>
  <si>
    <t>Kartik	Bedi</t>
  </si>
  <si>
    <t>Cecilie Miklasz Carstensen</t>
  </si>
  <si>
    <t>Edith Bulat Jövinger</t>
  </si>
  <si>
    <t>Jafeth Suarez Calderón</t>
  </si>
  <si>
    <t>Min Fu (Mark) Huang</t>
  </si>
  <si>
    <t>Arianna Candeloro</t>
  </si>
  <si>
    <t>Catharina Johanna Mitzi Helena Keller-With</t>
  </si>
  <si>
    <t>Gabriel	Blanco Herrera</t>
  </si>
  <si>
    <t>Federico	Corda</t>
  </si>
  <si>
    <t>Eaint Htar Wazin	Aung</t>
  </si>
  <si>
    <t>Hedda Olson</t>
  </si>
  <si>
    <t>Wenqing	LIANG</t>
  </si>
  <si>
    <t>Eain	Pyae</t>
  </si>
  <si>
    <t>Sofia	Tomasikova</t>
  </si>
  <si>
    <t>Mung Hkawng	Ja Ngai</t>
  </si>
  <si>
    <t>Ignacio Oreamuno Alpizar</t>
  </si>
  <si>
    <t>Bhim Prasad Timalsina</t>
  </si>
  <si>
    <t>Grete Mika	Gollenbeck</t>
  </si>
  <si>
    <t>Arianna        Candeloro</t>
  </si>
  <si>
    <t>Hillary        Villena Quispe</t>
  </si>
  <si>
    <t>Fiorenza        Echecopar Correa</t>
  </si>
  <si>
    <t>Lucrezia Blanca        Morra</t>
  </si>
  <si>
    <t>Jules	Melgaard</t>
  </si>
  <si>
    <t>Jade Yixuan	Wang</t>
  </si>
  <si>
    <t>Elba	de la Oliva</t>
  </si>
  <si>
    <t>Aryaka	Bist</t>
  </si>
  <si>
    <t>Chinoyerem Miracle        Onyegbula</t>
  </si>
  <si>
    <t>Edith        Bulat Jövinger</t>
  </si>
  <si>
    <t>Ana Lorena        Alonzo</t>
  </si>
  <si>
    <t>Benicio        Brzozowski</t>
  </si>
  <si>
    <t>Aunati        Kumar</t>
  </si>
  <si>
    <t>Elba de la Oliva</t>
  </si>
  <si>
    <t>Jorge Alexander Rivero Añez</t>
  </si>
  <si>
    <t>Ximena Rosalyn        Ventura Diaz</t>
  </si>
  <si>
    <t>Hedda        Olson</t>
  </si>
  <si>
    <t>Aye Chan Pyae Zone</t>
  </si>
  <si>
    <t>Hillary Villena Quispe</t>
  </si>
  <si>
    <t>Hsuan-Hao	Chang</t>
  </si>
  <si>
    <t>Ying Nam Aung</t>
  </si>
  <si>
    <t>Grete Mika        Gollenbeck</t>
  </si>
  <si>
    <t>Hillary	Villena Quispe</t>
  </si>
  <si>
    <t>Ximena Rosalyn	Ventura Diaz</t>
  </si>
  <si>
    <t>Salomé d'Aboville</t>
  </si>
  <si>
    <t>Ventsislav	Dinkov</t>
  </si>
  <si>
    <t>Tenzin	Jigme</t>
  </si>
  <si>
    <t>Sofía Mercado Gómez</t>
  </si>
  <si>
    <t>Oliver	Peña</t>
  </si>
  <si>
    <t>Pedro	Ortuño García</t>
  </si>
  <si>
    <t>Edith	Bulat Jövinger</t>
  </si>
  <si>
    <t>Aryaka        Bist</t>
  </si>
  <si>
    <t>Maxime        De Corioli</t>
  </si>
  <si>
    <t>Imran Tahiri</t>
  </si>
  <si>
    <t>Maitreyi Manoj        Nair</t>
  </si>
  <si>
    <t>Azure	Adams</t>
  </si>
  <si>
    <t>Benicio	Brzozowski</t>
  </si>
  <si>
    <t>Filip	Suchanski</t>
  </si>
  <si>
    <t>Kirabo	Mugambwa</t>
  </si>
  <si>
    <t>Fiorenza	Echecopar Correa</t>
  </si>
  <si>
    <t>Eain        Pyae</t>
  </si>
  <si>
    <t>Kirabo        Mugambwa</t>
  </si>
  <si>
    <t>Elba        de la Oliva</t>
  </si>
  <si>
    <t>Daniel Alejandro        Aparicio Canales</t>
  </si>
  <si>
    <t>Danielle        Namuwonge</t>
  </si>
  <si>
    <t>Azure        Adams</t>
  </si>
  <si>
    <t>Catharina Johanna Mitzi Helena        Keller-With</t>
  </si>
  <si>
    <t>Gabriel Blanco Herrera</t>
  </si>
  <si>
    <t>Jules Melgaard</t>
  </si>
  <si>
    <t>Isaac Sekagya</t>
  </si>
  <si>
    <t>Danielle Namuwonge</t>
  </si>
  <si>
    <t>Yao Wei        Zheng He</t>
  </si>
  <si>
    <t>Daniel Camilo	Gonzalez Marin</t>
  </si>
  <si>
    <t>Isabel	Canas-Ferreira Daltrop</t>
  </si>
  <si>
    <t>Berber   de Greef</t>
  </si>
  <si>
    <t>Oluwajomiloju Jedidah	Thorpe</t>
  </si>
  <si>
    <t>Leo Mark	Gibson Davies</t>
  </si>
  <si>
    <t>Hedda	Olson</t>
  </si>
  <si>
    <t>Maitreyi Manoj	Nair</t>
  </si>
  <si>
    <t>Jafeth	Suarez Calderón</t>
  </si>
  <si>
    <t>Nguyen (Vivienne) Thao Phuong</t>
  </si>
  <si>
    <t>Oluwafamisoke Oluwadunbarin	Olatunbosun</t>
  </si>
  <si>
    <t>Elba  de la Oliva</t>
  </si>
  <si>
    <t>Berber        de Greef</t>
  </si>
  <si>
    <t>Jade Yixuan        Wang</t>
  </si>
  <si>
    <t>Oluwafamisoke Oluwadunbarin        Olatunbosun</t>
  </si>
  <si>
    <t>Bhim Prasad	Timalsina</t>
  </si>
  <si>
    <t>Xiaoshi (Stone)	ZHAO</t>
  </si>
  <si>
    <t>Danielle	Namuwonge</t>
  </si>
  <si>
    <t>Jessica Lee        Hayduk</t>
  </si>
  <si>
    <t>Kyle        Imani</t>
  </si>
  <si>
    <t>Daniel Camilo        Gonzalez Marin</t>
  </si>
  <si>
    <t>Kelzang        Tobgyel</t>
  </si>
  <si>
    <t>Julian	Waszink Miller</t>
  </si>
  <si>
    <t>Klaudia	Wyrębkowska</t>
  </si>
  <si>
    <t>Julian Waszink Miller</t>
  </si>
  <si>
    <t>Kirabo Mugambwa</t>
  </si>
  <si>
    <t>Isabel Canas-Ferreira Daltrop</t>
  </si>
  <si>
    <t>Kyle Imani</t>
  </si>
  <si>
    <t>Eain Pyae</t>
  </si>
  <si>
    <t>Fiorenza Echecopar Correa</t>
  </si>
  <si>
    <t>Juliana	Montarsolo</t>
  </si>
  <si>
    <t>Berber	de Greef</t>
  </si>
  <si>
    <t>Ignacio	Oreamuno Alpizar</t>
  </si>
  <si>
    <t>Cecilie Miklasz	Carstensen</t>
  </si>
  <si>
    <t>Azure Adams</t>
  </si>
  <si>
    <t>Ronja	Grundig</t>
  </si>
  <si>
    <t>Pamela	Solís Arias</t>
  </si>
  <si>
    <t>Isaac        Sekagya</t>
  </si>
  <si>
    <t>Juliana        Montarsolo</t>
  </si>
  <si>
    <t>Tilda        Gaspar</t>
  </si>
  <si>
    <t>Isabela        Aurélio de Vargas</t>
  </si>
  <si>
    <t>Tahmina	Tamim</t>
  </si>
  <si>
    <t>Kristhel Gabriela	Ayapán Balcárcel</t>
  </si>
  <si>
    <t>Klaudia        Wyrębkowska</t>
  </si>
  <si>
    <t>Mingyi (Selena)        ZHANG</t>
  </si>
  <si>
    <t>Gabriel        Blanco Herrera</t>
  </si>
  <si>
    <t>Kiran        Wilcke</t>
  </si>
  <si>
    <t>Josie May	Thomas</t>
  </si>
  <si>
    <t>Kyle	Imani</t>
  </si>
  <si>
    <t>Maxime	De Corioli</t>
  </si>
  <si>
    <t>Juliana Montarsolo</t>
  </si>
  <si>
    <t>Laora Servant</t>
  </si>
  <si>
    <t>Maitreyi Manoj Nair</t>
  </si>
  <si>
    <t>Eaint Htar Wazin Aung</t>
  </si>
  <si>
    <t>Hsuan-Hao Chang</t>
  </si>
  <si>
    <t>Yannis Christian	Erni</t>
  </si>
  <si>
    <t>Naya	Niedermayr</t>
  </si>
  <si>
    <t>Kelzang	Tobgyel</t>
  </si>
  <si>
    <t>Isaac	Sekagya</t>
  </si>
  <si>
    <t>Tara	van Wijk</t>
  </si>
  <si>
    <t>Kris Xavier	Sealy</t>
  </si>
  <si>
    <t>Rosmeily de Jesús	Reyes</t>
  </si>
  <si>
    <t>Julian        Waszink Miller</t>
  </si>
  <si>
    <t>Eaint Htar Wazin        Aung</t>
  </si>
  <si>
    <t>Ronja        Grundig</t>
  </si>
  <si>
    <t>Ulrich        Mohrhdart Doger</t>
  </si>
  <si>
    <t>Yao Wei	Zheng He</t>
  </si>
  <si>
    <t>Leo Mark        Gibson Davies</t>
  </si>
  <si>
    <t>Yannis Christian        Erni</t>
  </si>
  <si>
    <t>Isabel        Canas-Ferreira Daltrop</t>
  </si>
  <si>
    <t>Min Fu (Mark)	Huang</t>
  </si>
  <si>
    <t>Kelzang Tobgyel</t>
  </si>
  <si>
    <t>Lucrezia Blanca Morra</t>
  </si>
  <si>
    <t>Mingyi (Selena) ZHANG</t>
  </si>
  <si>
    <t>Kristhel Gabriela Ayapán Balcárcel</t>
  </si>
  <si>
    <t>Tilda	Gaspar</t>
  </si>
  <si>
    <t>Olivia	Moe-Jordan</t>
  </si>
  <si>
    <t>Sophia	Gehann</t>
  </si>
  <si>
    <t>Kartik        Bedi</t>
  </si>
  <si>
    <t>Ventsislav        Dinkov</t>
  </si>
  <si>
    <t>Mung Hkawng        Ja Ngai</t>
  </si>
  <si>
    <t>Wenqing        LIANG</t>
  </si>
  <si>
    <t>Jafeth        Suarez Calderón</t>
  </si>
  <si>
    <t>Pedro        Ortuño García</t>
  </si>
  <si>
    <t>Federico        Corda</t>
  </si>
  <si>
    <t>Mingyi (Selena)	ZHANG</t>
  </si>
  <si>
    <t>Kiran Wilcke</t>
  </si>
  <si>
    <t>Maxime De Corioli</t>
  </si>
  <si>
    <t>Mung Hkawng Ja Ngai</t>
  </si>
  <si>
    <t>Jessica Lee Hayduk</t>
  </si>
  <si>
    <t>Oluwajomiloju Jedidah Thorpe</t>
  </si>
  <si>
    <t>Emely Johanya        López Torres</t>
  </si>
  <si>
    <t>Pia  de Ville de Goyet</t>
  </si>
  <si>
    <t>Lydia Elizabeth Gathoni        Cummins-Mburu</t>
  </si>
  <si>
    <t>Filip        Suchanski</t>
  </si>
  <si>
    <t>Naya Niedermayr</t>
  </si>
  <si>
    <t>Olivia Moe-Jordan</t>
  </si>
  <si>
    <t>Oluwafamisoke Oluwadunbarin Olatunbosun</t>
  </si>
  <si>
    <t>Kartik Bedi</t>
  </si>
  <si>
    <t>Berber de Greef</t>
  </si>
  <si>
    <t>Olivia        Moe-Jordan</t>
  </si>
  <si>
    <t>Hsuan-Hao        Chang</t>
  </si>
  <si>
    <t>Jules        Melgaard</t>
  </si>
  <si>
    <t>Oliver        Peña</t>
  </si>
  <si>
    <t>Florenz Levian        Krauß</t>
  </si>
  <si>
    <t>Pia	de Ville de Goyet</t>
  </si>
  <si>
    <t>Xiaoshi (Stone)        ZHAO</t>
  </si>
  <si>
    <t>Lydia Elizabeth Gathoni Cummins-Mburu</t>
  </si>
  <si>
    <t>Pedro Ortuño García</t>
  </si>
  <si>
    <t>Lucrezia Blanca	Morra</t>
  </si>
  <si>
    <t>Pamela        Solís Arias</t>
  </si>
  <si>
    <t>Tenzin  Jigme</t>
  </si>
  <si>
    <t>Pamela Solís Arias</t>
  </si>
  <si>
    <t>Kris Xavier        Sealy</t>
  </si>
  <si>
    <t>Ignacio        Oreamuno Alpizar</t>
  </si>
  <si>
    <t>Josie May        Thomas</t>
  </si>
  <si>
    <t>Aunati Kumar</t>
  </si>
  <si>
    <t>Pia de Ville de Goyet</t>
  </si>
  <si>
    <t>Isabela	Aurélio de Vargas</t>
  </si>
  <si>
    <t>Aoife Jassami Wade</t>
  </si>
  <si>
    <t>Oluwajomiloju Jedidah        Thorpe</t>
  </si>
  <si>
    <t>Min Fu (Mark)        Huang</t>
  </si>
  <si>
    <t>Tahmina        Tamim</t>
  </si>
  <si>
    <t>Tara        van Wijk</t>
  </si>
  <si>
    <t>Zoé Sara	Amat</t>
  </si>
  <si>
    <t>Pia        de Ville de Goyet</t>
  </si>
  <si>
    <t>Kristhel Gabriela        Ayapán Balcárcel</t>
  </si>
  <si>
    <t>Laora        Servant</t>
  </si>
  <si>
    <t>Klaudia Wyrębkowska</t>
  </si>
  <si>
    <t>Sophia        Gehann</t>
  </si>
  <si>
    <t>Tenzin        Jigme</t>
  </si>
  <si>
    <t>Jorge Alexander        Rivero Añez</t>
  </si>
  <si>
    <t>Isabela Aurélio de Vargas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</si>
</sst>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b/>
      <sz val="12.0"/>
      <color rgb="FFFFFFFF"/>
      <name val="Arial"/>
    </font>
    <font>
      <b/>
      <sz val="12.0"/>
      <color theme="0"/>
      <name val="Arial"/>
    </font>
    <font>
      <color theme="1"/>
      <name val="Arial"/>
      <scheme val="minor"/>
    </font>
    <font>
      <b/>
      <sz val="12.0"/>
      <color rgb="FFFFFFFF"/>
      <name val="Arial"/>
      <scheme val="minor"/>
    </font>
    <font>
      <sz val="12.0"/>
      <color rgb="FFFFFFFF"/>
      <name val="Arial"/>
    </font>
    <font>
      <sz val="12.0"/>
      <color rgb="FFFFFFFF"/>
      <name val="Arial"/>
      <scheme val="minor"/>
    </font>
    <font>
      <b/>
      <color theme="1"/>
      <name val="Arial"/>
      <scheme val="minor"/>
    </font>
    <font>
      <b/>
      <sz val="12.0"/>
      <color theme="0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285F4"/>
        <bgColor rgb="FF4285F4"/>
      </patternFill>
    </fill>
    <fill>
      <patternFill patternType="solid">
        <fgColor rgb="FFEA4335"/>
        <bgColor rgb="FFEA4335"/>
      </patternFill>
    </fill>
    <fill>
      <patternFill patternType="solid">
        <fgColor rgb="FFFBBC04"/>
        <bgColor rgb="FFFBBC04"/>
      </patternFill>
    </fill>
    <fill>
      <patternFill patternType="solid">
        <fgColor rgb="FF34A853"/>
        <bgColor rgb="FF34A853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1" fillId="3" fontId="2" numFmtId="0" xfId="0" applyAlignment="1" applyBorder="1" applyFill="1" applyFont="1">
      <alignment horizontal="center" shrinkToFit="0" wrapText="1"/>
    </xf>
    <xf borderId="2" fillId="3" fontId="2" numFmtId="0" xfId="0" applyAlignment="1" applyBorder="1" applyFont="1">
      <alignment horizontal="center" shrinkToFit="0" wrapText="1"/>
    </xf>
    <xf borderId="3" fillId="0" fontId="3" numFmtId="0" xfId="0" applyBorder="1" applyFont="1"/>
    <xf borderId="2" fillId="4" fontId="2" numFmtId="0" xfId="0" applyAlignment="1" applyBorder="1" applyFill="1" applyFont="1">
      <alignment horizontal="center" shrinkToFit="0" wrapText="1"/>
    </xf>
    <xf borderId="1" fillId="4" fontId="2" numFmtId="0" xfId="0" applyAlignment="1" applyBorder="1" applyFont="1">
      <alignment horizontal="center" shrinkToFit="0" wrapText="1"/>
    </xf>
    <xf borderId="1" fillId="4" fontId="2" numFmtId="0" xfId="0" applyAlignment="1" applyBorder="1" applyFont="1">
      <alignment horizontal="center" readingOrder="0" shrinkToFit="0" wrapText="1"/>
    </xf>
    <xf borderId="2" fillId="5" fontId="2" numFmtId="0" xfId="0" applyAlignment="1" applyBorder="1" applyFill="1" applyFont="1">
      <alignment horizontal="center" readingOrder="0" shrinkToFit="0" wrapText="1"/>
    </xf>
    <xf borderId="2" fillId="5" fontId="2" numFmtId="0" xfId="0" applyAlignment="1" applyBorder="1" applyFont="1">
      <alignment horizontal="center" shrinkToFit="0" wrapText="1"/>
    </xf>
    <xf borderId="1" fillId="5" fontId="2" numFmtId="0" xfId="0" applyAlignment="1" applyBorder="1" applyFont="1">
      <alignment horizontal="center" shrinkToFit="0" wrapText="1"/>
    </xf>
    <xf borderId="1" fillId="5" fontId="2" numFmtId="0" xfId="0" applyAlignment="1" applyBorder="1" applyFont="1">
      <alignment horizontal="center" shrinkToFit="0" vertical="bottom" wrapText="1"/>
    </xf>
    <xf borderId="1" fillId="6" fontId="2" numFmtId="0" xfId="0" applyAlignment="1" applyBorder="1" applyFill="1" applyFont="1">
      <alignment horizontal="center" shrinkToFit="0" wrapText="1"/>
    </xf>
    <xf borderId="2" fillId="6" fontId="2" numFmtId="0" xfId="0" applyAlignment="1" applyBorder="1" applyFont="1">
      <alignment horizontal="center" shrinkToFit="0" wrapText="1"/>
    </xf>
    <xf borderId="1" fillId="6" fontId="2" numFmtId="0" xfId="0" applyAlignment="1" applyBorder="1" applyFont="1">
      <alignment horizontal="center" readingOrder="0" shrinkToFit="0" wrapText="1"/>
    </xf>
    <xf borderId="0" fillId="7" fontId="2" numFmtId="0" xfId="0" applyAlignment="1" applyFill="1" applyFont="1">
      <alignment horizontal="center" shrinkToFit="0" wrapText="1"/>
    </xf>
    <xf borderId="1" fillId="2" fontId="2" numFmtId="0" xfId="0" applyAlignment="1" applyBorder="1" applyFont="1">
      <alignment shrinkToFit="0" wrapText="1"/>
    </xf>
    <xf borderId="1" fillId="3" fontId="2" numFmtId="0" xfId="0" applyAlignment="1" applyBorder="1" applyFont="1">
      <alignment horizontal="center" shrinkToFit="0" vertical="center" wrapText="1"/>
    </xf>
    <xf borderId="2" fillId="3" fontId="2" numFmtId="0" xfId="0" applyAlignment="1" applyBorder="1" applyFont="1">
      <alignment horizontal="center" readingOrder="0" shrinkToFit="0" vertical="center" wrapText="1"/>
    </xf>
    <xf borderId="2" fillId="8" fontId="2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2" fillId="4" fontId="2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2" fillId="9" fontId="2" numFmtId="0" xfId="0" applyAlignment="1" applyBorder="1" applyFill="1" applyFont="1">
      <alignment horizontal="center" readingOrder="0" shrinkToFit="0" vertical="center" wrapText="1"/>
    </xf>
    <xf borderId="2" fillId="5" fontId="2" numFmtId="0" xfId="0" applyAlignment="1" applyBorder="1" applyFont="1">
      <alignment horizontal="center" readingOrder="0" shrinkToFit="0" vertical="center" wrapText="1"/>
    </xf>
    <xf borderId="2" fillId="5" fontId="2" numFmtId="0" xfId="0" applyAlignment="1" applyBorder="1" applyFont="1">
      <alignment horizontal="center" shrinkToFit="0" vertical="center" wrapText="1"/>
    </xf>
    <xf borderId="2" fillId="10" fontId="2" numFmtId="0" xfId="0" applyAlignment="1" applyBorder="1" applyFill="1" applyFont="1">
      <alignment horizontal="center" readingOrder="0"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4" fillId="5" fontId="2" numFmtId="0" xfId="0" applyAlignment="1" applyBorder="1" applyFont="1">
      <alignment horizontal="center" shrinkToFit="0" vertical="center" wrapText="1"/>
    </xf>
    <xf borderId="1" fillId="6" fontId="2" numFmtId="0" xfId="0" applyAlignment="1" applyBorder="1" applyFont="1">
      <alignment horizontal="center" shrinkToFit="0" vertical="center" wrapText="1"/>
    </xf>
    <xf borderId="2" fillId="6" fontId="2" numFmtId="0" xfId="0" applyAlignment="1" applyBorder="1" applyFont="1">
      <alignment horizontal="center" readingOrder="0" shrinkToFit="0" vertical="center" wrapText="1"/>
    </xf>
    <xf borderId="2" fillId="6" fontId="2" numFmtId="0" xfId="0" applyAlignment="1" applyBorder="1" applyFont="1">
      <alignment horizontal="center" shrinkToFit="0" vertical="center" wrapText="1"/>
    </xf>
    <xf borderId="1" fillId="6" fontId="2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0" fillId="7" fontId="2" numFmtId="0" xfId="0" applyAlignment="1" applyFont="1">
      <alignment horizontal="center" readingOrder="0" shrinkToFit="0" wrapText="1"/>
    </xf>
    <xf borderId="1" fillId="5" fontId="2" numFmtId="0" xfId="0" applyAlignment="1" applyBorder="1" applyFont="1">
      <alignment horizontal="center" readingOrder="0" shrinkToFit="0" wrapText="1"/>
    </xf>
    <xf borderId="4" fillId="5" fontId="2" numFmtId="0" xfId="0" applyAlignment="1" applyBorder="1" applyFont="1">
      <alignment horizontal="center" shrinkToFit="0" vertical="bottom" wrapText="1"/>
    </xf>
    <xf borderId="1" fillId="3" fontId="2" numFmtId="0" xfId="0" applyAlignment="1" applyBorder="1" applyFont="1">
      <alignment horizontal="center" readingOrder="0" shrinkToFit="0" wrapText="1"/>
    </xf>
    <xf borderId="2" fillId="3" fontId="2" numFmtId="0" xfId="0" applyAlignment="1" applyBorder="1" applyFont="1">
      <alignment horizontal="center" readingOrder="0" shrinkToFit="0" wrapText="1"/>
    </xf>
    <xf borderId="2" fillId="4" fontId="2" numFmtId="0" xfId="0" applyAlignment="1" applyBorder="1" applyFont="1">
      <alignment horizontal="center" readingOrder="0" shrinkToFit="0" wrapText="1"/>
    </xf>
    <xf borderId="4" fillId="5" fontId="2" numFmtId="0" xfId="0" applyAlignment="1" applyBorder="1" applyFont="1">
      <alignment horizontal="center" shrinkToFit="0" vertical="bottom" wrapText="1"/>
    </xf>
    <xf borderId="2" fillId="6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shrinkToFit="0" vertical="bottom" wrapText="1"/>
    </xf>
    <xf borderId="4" fillId="5" fontId="2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1" fillId="8" fontId="2" numFmtId="0" xfId="0" applyAlignment="1" applyBorder="1" applyFont="1">
      <alignment horizontal="center" shrinkToFit="0" wrapText="1"/>
    </xf>
    <xf borderId="1" fillId="9" fontId="2" numFmtId="0" xfId="0" applyAlignment="1" applyBorder="1" applyFont="1">
      <alignment horizontal="center" shrinkToFit="0" wrapText="1"/>
    </xf>
    <xf borderId="2" fillId="10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  <xf borderId="4" fillId="3" fontId="4" numFmtId="0" xfId="0" applyAlignment="1" applyBorder="1" applyFont="1">
      <alignment horizontal="center" readingOrder="0" shrinkToFit="0" vertical="center" wrapText="1"/>
    </xf>
    <xf borderId="3" fillId="3" fontId="4" numFmtId="0" xfId="0" applyAlignment="1" applyBorder="1" applyFont="1">
      <alignment horizontal="center" readingOrder="0" shrinkToFit="0" vertical="center" wrapText="1"/>
    </xf>
    <xf borderId="1" fillId="8" fontId="4" numFmtId="0" xfId="0" applyAlignment="1" applyBorder="1" applyFont="1">
      <alignment horizontal="center" readingOrder="0" shrinkToFit="0" vertical="center" wrapText="1"/>
    </xf>
    <xf borderId="1" fillId="9" fontId="4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1" fillId="10" fontId="4" numFmtId="0" xfId="0" applyAlignment="1" applyBorder="1" applyFont="1">
      <alignment horizontal="center" readingOrder="0" shrinkToFit="0" vertical="center" wrapText="1"/>
    </xf>
    <xf borderId="1" fillId="5" fontId="4" numFmtId="0" xfId="0" applyAlignment="1" applyBorder="1" applyFont="1">
      <alignment horizontal="center" readingOrder="0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1" fillId="6" fontId="4" numFmtId="0" xfId="0" applyAlignment="1" applyBorder="1" applyFont="1">
      <alignment horizontal="center" readingOrder="0" shrinkToFit="0" vertical="center" wrapText="1"/>
    </xf>
    <xf borderId="1" fillId="6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1" fillId="11" fontId="4" numFmtId="0" xfId="0" applyAlignment="1" applyBorder="1" applyFill="1" applyFont="1">
      <alignment horizontal="center" readingOrder="0" shrinkToFit="0" vertical="center" wrapText="1"/>
    </xf>
    <xf borderId="0" fillId="7" fontId="5" numFmtId="0" xfId="0" applyAlignment="1" applyFont="1">
      <alignment shrinkToFit="0" vertical="bottom" wrapText="1"/>
    </xf>
    <xf borderId="5" fillId="3" fontId="4" numFmtId="0" xfId="0" applyAlignment="1" applyBorder="1" applyFont="1">
      <alignment horizontal="center" readingOrder="0" shrinkToFit="0" vertical="center" wrapText="1"/>
    </xf>
    <xf borderId="6" fillId="8" fontId="6" numFmtId="0" xfId="0" applyAlignment="1" applyBorder="1" applyFont="1">
      <alignment horizontal="center" vertical="center"/>
    </xf>
    <xf borderId="1" fillId="9" fontId="5" numFmtId="0" xfId="0" applyAlignment="1" applyBorder="1" applyFont="1">
      <alignment horizontal="center" readingOrder="0" shrinkToFit="0" vertical="center" wrapText="1"/>
    </xf>
    <xf borderId="5" fillId="4" fontId="4" numFmtId="0" xfId="0" applyAlignment="1" applyBorder="1" applyFont="1">
      <alignment horizontal="center" readingOrder="0" shrinkToFit="0" vertical="center" wrapText="1"/>
    </xf>
    <xf borderId="0" fillId="6" fontId="7" numFmtId="0" xfId="0" applyAlignment="1" applyFont="1">
      <alignment horizontal="center" readingOrder="0" shrinkToFit="0" vertical="center" wrapText="1"/>
    </xf>
    <xf borderId="1" fillId="6" fontId="4" numFmtId="0" xfId="0" applyAlignment="1" applyBorder="1" applyFont="1">
      <alignment horizontal="center" shrinkToFit="0" vertical="center" wrapText="1"/>
    </xf>
    <xf borderId="1" fillId="8" fontId="5" numFmtId="0" xfId="0" applyAlignment="1" applyBorder="1" applyFont="1">
      <alignment horizontal="center" shrinkToFit="0" vertical="center" wrapText="1"/>
    </xf>
    <xf borderId="0" fillId="3" fontId="6" numFmtId="0" xfId="0" applyAlignment="1" applyFont="1">
      <alignment horizontal="center" vertical="center"/>
    </xf>
    <xf borderId="0" fillId="8" fontId="7" numFmtId="0" xfId="0" applyAlignment="1" applyFont="1">
      <alignment horizontal="center" readingOrder="0" shrinkToFit="0" vertical="center" wrapText="1"/>
    </xf>
    <xf borderId="1" fillId="9" fontId="5" numFmtId="0" xfId="0" applyAlignment="1" applyBorder="1" applyFont="1">
      <alignment horizontal="center" shrinkToFit="0" vertical="center" wrapText="1"/>
    </xf>
    <xf borderId="7" fillId="4" fontId="7" numFmtId="0" xfId="0" applyAlignment="1" applyBorder="1" applyFont="1">
      <alignment horizontal="center" readingOrder="0" shrinkToFit="0" vertical="center" wrapText="1"/>
    </xf>
    <xf borderId="6" fillId="5" fontId="4" numFmtId="0" xfId="0" applyAlignment="1" applyBorder="1" applyFont="1">
      <alignment horizontal="center" shrinkToFit="0" vertical="center" wrapText="1"/>
    </xf>
    <xf borderId="0" fillId="3" fontId="4" numFmtId="0" xfId="0" applyAlignment="1" applyFont="1">
      <alignment horizontal="center" readingOrder="0" vertical="center"/>
    </xf>
    <xf borderId="0" fillId="3" fontId="6" numFmtId="0" xfId="0" applyFont="1"/>
    <xf borderId="1" fillId="10" fontId="5" numFmtId="0" xfId="0" applyAlignment="1" applyBorder="1" applyFont="1">
      <alignment horizontal="center" shrinkToFit="0" vertical="center" wrapText="1"/>
    </xf>
    <xf borderId="6" fillId="6" fontId="6" numFmtId="0" xfId="0" applyBorder="1" applyFont="1"/>
    <xf borderId="0" fillId="3" fontId="7" numFmtId="0" xfId="0" applyAlignment="1" applyFont="1">
      <alignment horizontal="center" readingOrder="0"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0" fillId="5" fontId="6" numFmtId="0" xfId="0" applyAlignment="1" applyFont="1">
      <alignment horizontal="center" vertical="center"/>
    </xf>
    <xf borderId="0" fillId="6" fontId="8" numFmtId="0" xfId="0" applyAlignment="1" applyFont="1">
      <alignment horizontal="center" shrinkToFit="0" vertical="center" wrapText="1"/>
    </xf>
    <xf borderId="6" fillId="3" fontId="7" numFmtId="0" xfId="0" applyAlignment="1" applyBorder="1" applyFont="1">
      <alignment horizontal="center" readingOrder="0" shrinkToFit="0" vertical="center" wrapText="1"/>
    </xf>
    <xf borderId="0" fillId="4" fontId="6" numFmtId="0" xfId="0" applyFont="1"/>
    <xf borderId="7" fillId="6" fontId="7" numFmtId="0" xfId="0" applyAlignment="1" applyBorder="1" applyFont="1">
      <alignment horizontal="center" readingOrder="0" shrinkToFit="0" vertical="center" wrapText="1"/>
    </xf>
    <xf borderId="7" fillId="8" fontId="7" numFmtId="0" xfId="0" applyAlignment="1" applyBorder="1" applyFont="1">
      <alignment horizontal="center" readingOrder="0" shrinkToFit="0" vertical="center" wrapText="1"/>
    </xf>
    <xf borderId="7" fillId="3" fontId="7" numFmtId="0" xfId="0" applyAlignment="1" applyBorder="1" applyFont="1">
      <alignment horizontal="center" readingOrder="0" shrinkToFit="0" vertical="center" wrapText="1"/>
    </xf>
    <xf borderId="7" fillId="4" fontId="6" numFmtId="0" xfId="0" applyBorder="1" applyFont="1"/>
    <xf borderId="0" fillId="9" fontId="4" numFmtId="0" xfId="0" applyAlignment="1" applyFont="1">
      <alignment horizontal="center" readingOrder="0" shrinkToFit="0" vertical="center" wrapText="1"/>
    </xf>
    <xf borderId="6" fillId="6" fontId="7" numFmtId="0" xfId="0" applyAlignment="1" applyBorder="1" applyFont="1">
      <alignment horizontal="center" readingOrder="0" shrinkToFit="0" vertical="center" wrapText="1"/>
    </xf>
    <xf borderId="6" fillId="4" fontId="6" numFmtId="0" xfId="0" applyBorder="1" applyFont="1"/>
    <xf borderId="1" fillId="4" fontId="4" numFmtId="0" xfId="0" applyAlignment="1" applyBorder="1" applyFont="1">
      <alignment horizontal="center" shrinkToFit="0" vertical="center" wrapText="1"/>
    </xf>
    <xf borderId="0" fillId="4" fontId="4" numFmtId="0" xfId="0" applyAlignment="1" applyFont="1">
      <alignment horizontal="center" vertical="center"/>
    </xf>
    <xf borderId="5" fillId="6" fontId="7" numFmtId="0" xfId="0" applyAlignment="1" applyBorder="1" applyFont="1">
      <alignment horizontal="center"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6" fontId="6" numFmtId="0" xfId="0" applyAlignment="1" applyFont="1">
      <alignment horizontal="center" vertical="center"/>
    </xf>
    <xf borderId="0" fillId="6" fontId="4" numFmtId="0" xfId="0" applyAlignment="1" applyFont="1">
      <alignment horizontal="center" readingOrder="0" vertical="center"/>
    </xf>
    <xf borderId="5" fillId="6" fontId="4" numFmtId="0" xfId="0" applyAlignment="1" applyBorder="1" applyFont="1">
      <alignment horizontal="center" shrinkToFit="0" vertical="center" wrapText="1"/>
    </xf>
    <xf borderId="7" fillId="6" fontId="4" numFmtId="0" xfId="0" applyAlignment="1" applyBorder="1" applyFont="1">
      <alignment horizontal="center" readingOrder="0" shrinkToFit="0" vertical="center" wrapText="1"/>
    </xf>
    <xf borderId="6" fillId="8" fontId="4" numFmtId="0" xfId="0" applyAlignment="1" applyBorder="1" applyFont="1">
      <alignment horizontal="center" readingOrder="0" shrinkToFit="0" vertical="center" wrapText="1"/>
    </xf>
    <xf borderId="0" fillId="8" fontId="4" numFmtId="0" xfId="0" applyAlignment="1" applyFont="1">
      <alignment horizontal="center" readingOrder="0" shrinkToFit="0" vertical="center" wrapText="1"/>
    </xf>
    <xf borderId="7" fillId="4" fontId="4" numFmtId="0" xfId="0" applyAlignment="1" applyBorder="1" applyFont="1">
      <alignment horizontal="center" shrinkToFit="0" vertical="center" wrapText="1"/>
    </xf>
    <xf borderId="6" fillId="4" fontId="7" numFmtId="0" xfId="0" applyAlignment="1" applyBorder="1" applyFont="1">
      <alignment horizontal="center" readingOrder="0" shrinkToFit="0" vertical="center" wrapText="1"/>
    </xf>
    <xf borderId="0" fillId="6" fontId="4" numFmtId="0" xfId="0" applyAlignment="1" applyFont="1">
      <alignment horizontal="center" shrinkToFit="0" vertical="center" wrapText="1"/>
    </xf>
    <xf borderId="1" fillId="8" fontId="5" numFmtId="0" xfId="0" applyAlignment="1" applyBorder="1" applyFont="1">
      <alignment horizontal="center" readingOrder="0" shrinkToFit="0" vertical="center" wrapText="1"/>
    </xf>
    <xf borderId="0" fillId="3" fontId="7" numFmtId="0" xfId="0" applyAlignment="1" applyFont="1">
      <alignment readingOrder="0" shrinkToFit="0" wrapText="1"/>
    </xf>
    <xf borderId="0" fillId="5" fontId="6" numFmtId="0" xfId="0" applyFont="1"/>
    <xf borderId="1" fillId="4" fontId="5" numFmtId="0" xfId="0" applyAlignment="1" applyBorder="1" applyFont="1">
      <alignment horizontal="center" readingOrder="0" shrinkToFit="0" vertical="center" wrapText="1"/>
    </xf>
    <xf borderId="6" fillId="9" fontId="6" numFmtId="0" xfId="0" applyAlignment="1" applyBorder="1" applyFont="1">
      <alignment horizontal="center" vertical="center"/>
    </xf>
    <xf borderId="7" fillId="5" fontId="7" numFmtId="0" xfId="0" applyAlignment="1" applyBorder="1" applyFont="1">
      <alignment horizontal="center" readingOrder="0" shrinkToFit="0" vertical="center" wrapText="1"/>
    </xf>
    <xf borderId="1" fillId="10" fontId="5" numFmtId="0" xfId="0" applyAlignment="1" applyBorder="1" applyFont="1">
      <alignment horizontal="center" readingOrder="0" shrinkToFit="0" vertical="center" wrapText="1"/>
    </xf>
    <xf borderId="5" fillId="10" fontId="4" numFmtId="0" xfId="0" applyAlignment="1" applyBorder="1" applyFont="1">
      <alignment horizontal="center" readingOrder="0" shrinkToFit="0" vertical="center" wrapText="1"/>
    </xf>
    <xf borderId="6" fillId="3" fontId="7" numFmtId="0" xfId="0" applyAlignment="1" applyBorder="1" applyFont="1">
      <alignment horizontal="center" readingOrder="0" vertical="center"/>
    </xf>
    <xf borderId="4" fillId="6" fontId="4" numFmtId="0" xfId="0" applyAlignment="1" applyBorder="1" applyFont="1">
      <alignment horizontal="center" readingOrder="0" shrinkToFit="0" vertical="center" wrapText="1"/>
    </xf>
    <xf borderId="6" fillId="4" fontId="6" numFmtId="0" xfId="0" applyAlignment="1" applyBorder="1" applyFont="1">
      <alignment horizontal="center" vertical="center"/>
    </xf>
    <xf borderId="0" fillId="10" fontId="4" numFmtId="0" xfId="0" applyAlignment="1" applyFont="1">
      <alignment horizontal="center" readingOrder="0" shrinkToFit="0" vertical="center" wrapText="1"/>
    </xf>
    <xf borderId="1" fillId="11" fontId="5" numFmtId="0" xfId="0" applyAlignment="1" applyBorder="1" applyFont="1">
      <alignment horizontal="center" shrinkToFit="0" vertical="center" wrapText="1"/>
    </xf>
    <xf borderId="0" fillId="3" fontId="7" numFmtId="0" xfId="0" applyAlignment="1" applyFont="1">
      <alignment readingOrder="0"/>
    </xf>
    <xf borderId="0" fillId="4" fontId="6" numFmtId="0" xfId="0" applyAlignment="1" applyFont="1">
      <alignment horizontal="center" vertical="center"/>
    </xf>
    <xf borderId="0" fillId="9" fontId="6" numFmtId="0" xfId="0" applyFont="1"/>
    <xf borderId="7" fillId="9" fontId="6" numFmtId="0" xfId="0" applyAlignment="1" applyBorder="1" applyFont="1">
      <alignment horizontal="center" vertical="center"/>
    </xf>
    <xf borderId="6" fillId="9" fontId="7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readingOrder="0" vertical="center"/>
    </xf>
    <xf borderId="7" fillId="11" fontId="7" numFmtId="0" xfId="0" applyAlignment="1" applyBorder="1" applyFont="1">
      <alignment horizontal="center" readingOrder="0" shrinkToFit="0" vertical="center" wrapText="1"/>
    </xf>
    <xf borderId="5" fillId="3" fontId="6" numFmtId="0" xfId="0" applyAlignment="1" applyBorder="1" applyFont="1">
      <alignment horizontal="center" vertical="center"/>
    </xf>
    <xf borderId="0" fillId="6" fontId="9" numFmtId="0" xfId="0" applyAlignment="1" applyFont="1">
      <alignment readingOrder="0" shrinkToFit="0" wrapText="1"/>
    </xf>
    <xf borderId="3" fillId="6" fontId="4" numFmtId="0" xfId="0" applyAlignment="1" applyBorder="1" applyFont="1">
      <alignment horizontal="center" readingOrder="0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7" fillId="9" fontId="4" numFmtId="0" xfId="0" applyAlignment="1" applyBorder="1" applyFont="1">
      <alignment horizontal="center" readingOrder="0" shrinkToFit="0" vertical="center" wrapText="1"/>
    </xf>
    <xf borderId="1" fillId="9" fontId="4" numFmtId="0" xfId="0" applyAlignment="1" applyBorder="1" applyFont="1">
      <alignment horizontal="center" shrinkToFit="0" vertical="center" wrapText="1"/>
    </xf>
    <xf borderId="0" fillId="9" fontId="4" numFmtId="0" xfId="0" applyAlignment="1" applyFont="1">
      <alignment horizontal="center" vertical="center"/>
    </xf>
    <xf borderId="6" fillId="5" fontId="7" numFmtId="0" xfId="0" applyAlignment="1" applyBorder="1" applyFont="1">
      <alignment horizontal="center" readingOrder="0" shrinkToFit="0" vertical="center" wrapText="1"/>
    </xf>
    <xf borderId="0" fillId="6" fontId="6" numFmtId="0" xfId="0" applyFont="1"/>
    <xf borderId="5" fillId="8" fontId="6" numFmtId="0" xfId="0" applyAlignment="1" applyBorder="1" applyFont="1">
      <alignment horizontal="center" vertical="center"/>
    </xf>
    <xf borderId="0" fillId="4" fontId="4" numFmtId="0" xfId="0" applyAlignment="1" applyFont="1">
      <alignment horizontal="center" readingOrder="0" vertical="center"/>
    </xf>
    <xf borderId="6" fillId="5" fontId="4" numFmtId="0" xfId="0" applyAlignment="1" applyBorder="1" applyFont="1">
      <alignment horizontal="center" readingOrder="0" shrinkToFit="0" vertical="center" wrapText="1"/>
    </xf>
    <xf borderId="0" fillId="6" fontId="4" numFmtId="0" xfId="0" applyAlignment="1" applyFont="1">
      <alignment horizontal="center" readingOrder="0" shrinkToFit="0" vertical="center" wrapText="1"/>
    </xf>
    <xf borderId="0" fillId="4" fontId="4" numFmtId="0" xfId="0" applyAlignment="1" applyFont="1">
      <alignment horizontal="center" vertical="center"/>
    </xf>
    <xf borderId="4" fillId="3" fontId="2" numFmtId="0" xfId="0" applyAlignment="1" applyBorder="1" applyFont="1">
      <alignment horizontal="center" shrinkToFit="0" vertical="center" wrapText="1"/>
    </xf>
    <xf borderId="6" fillId="5" fontId="6" numFmtId="0" xfId="0" applyAlignment="1" applyBorder="1" applyFont="1">
      <alignment horizontal="center" vertical="center"/>
    </xf>
    <xf borderId="1" fillId="5" fontId="5" numFmtId="0" xfId="0" applyAlignment="1" applyBorder="1" applyFont="1">
      <alignment horizontal="center" readingOrder="0" shrinkToFit="0" vertical="center" wrapText="1"/>
    </xf>
    <xf borderId="1" fillId="6" fontId="5" numFmtId="0" xfId="0" applyAlignment="1" applyBorder="1" applyFont="1">
      <alignment horizontal="center" readingOrder="0" shrinkToFit="0" vertical="center" wrapText="1"/>
    </xf>
    <xf borderId="1" fillId="11" fontId="5" numFmtId="0" xfId="0" applyAlignment="1" applyBorder="1" applyFont="1">
      <alignment horizontal="center" readingOrder="0" shrinkToFit="0" vertical="center" wrapText="1"/>
    </xf>
    <xf borderId="5" fillId="3" fontId="10" numFmtId="0" xfId="0" applyAlignment="1" applyBorder="1" applyFont="1">
      <alignment horizontal="center" shrinkToFit="0" vertical="center" wrapText="1"/>
    </xf>
    <xf borderId="7" fillId="5" fontId="6" numFmtId="0" xfId="0" applyAlignment="1" applyBorder="1" applyFont="1">
      <alignment horizontal="center" vertical="center"/>
    </xf>
    <xf borderId="6" fillId="4" fontId="5" numFmtId="0" xfId="0" applyAlignment="1" applyBorder="1" applyFont="1">
      <alignment horizontal="center" shrinkToFit="0" vertical="center" wrapText="1"/>
    </xf>
    <xf borderId="0" fillId="8" fontId="5" numFmtId="0" xfId="0" applyAlignment="1" applyFont="1">
      <alignment horizontal="center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1" fillId="3" fontId="6" numFmtId="0" xfId="0" applyBorder="1" applyFont="1"/>
    <xf borderId="1" fillId="5" fontId="5" numFmtId="0" xfId="0" applyAlignment="1" applyBorder="1" applyFont="1">
      <alignment horizontal="center" shrinkToFit="0" vertical="center" wrapText="1"/>
    </xf>
    <xf borderId="0" fillId="4" fontId="5" numFmtId="0" xfId="0" applyAlignment="1" applyFont="1">
      <alignment horizontal="center" shrinkToFit="0" vertical="center" wrapText="1"/>
    </xf>
    <xf borderId="1" fillId="3" fontId="1" numFmtId="0" xfId="0" applyBorder="1" applyFont="1"/>
    <xf borderId="1" fillId="3" fontId="1" numFmtId="0" xfId="0" applyAlignment="1" applyBorder="1" applyFont="1">
      <alignment vertical="bottom"/>
    </xf>
    <xf borderId="1" fillId="3" fontId="4" numFmtId="0" xfId="0" applyAlignment="1" applyBorder="1" applyFont="1">
      <alignment readingOrder="0" shrinkToFit="0" wrapText="1"/>
    </xf>
    <xf borderId="1" fillId="9" fontId="5" numFmtId="0" xfId="0" applyBorder="1" applyFont="1"/>
    <xf borderId="1" fillId="9" fontId="5" numFmtId="0" xfId="0" applyAlignment="1" applyBorder="1" applyFont="1">
      <alignment shrinkToFit="0" vertical="bottom" wrapText="1"/>
    </xf>
    <xf borderId="1" fillId="9" fontId="5" numFmtId="0" xfId="0" applyAlignment="1" applyBorder="1" applyFont="1">
      <alignment vertical="bottom"/>
    </xf>
    <xf borderId="1" fillId="5" fontId="1" numFmtId="0" xfId="0" applyBorder="1" applyFont="1"/>
    <xf borderId="1" fillId="5" fontId="4" numFmtId="0" xfId="0" applyAlignment="1" applyBorder="1" applyFont="1">
      <alignment readingOrder="0" shrinkToFit="0" wrapText="1"/>
    </xf>
    <xf borderId="1" fillId="6" fontId="4" numFmtId="0" xfId="0" applyAlignment="1" applyBorder="1" applyFont="1">
      <alignment shrinkToFit="0" wrapText="1"/>
    </xf>
    <xf borderId="1" fillId="6" fontId="4" numFmtId="0" xfId="0" applyAlignment="1" applyBorder="1" applyFont="1">
      <alignment readingOrder="0" shrinkToFit="0" wrapText="1"/>
    </xf>
    <xf borderId="1" fillId="8" fontId="5" numFmtId="0" xfId="0" applyAlignment="1" applyBorder="1" applyFont="1">
      <alignment shrinkToFit="0" wrapText="1"/>
    </xf>
    <xf borderId="1" fillId="4" fontId="1" numFmtId="0" xfId="0" applyBorder="1" applyFont="1"/>
    <xf borderId="1" fillId="4" fontId="1" numFmtId="0" xfId="0" applyAlignment="1" applyBorder="1" applyFont="1">
      <alignment vertical="bottom"/>
    </xf>
    <xf borderId="1" fillId="10" fontId="5" numFmtId="0" xfId="0" applyBorder="1" applyFont="1"/>
    <xf borderId="6" fillId="5" fontId="6" numFmtId="0" xfId="0" applyBorder="1" applyFont="1"/>
    <xf borderId="1" fillId="11" fontId="5" numFmtId="0" xfId="0" applyBorder="1" applyFont="1"/>
    <xf borderId="0" fillId="7" fontId="5" numFmtId="0" xfId="0" applyFont="1"/>
    <xf borderId="5" fillId="8" fontId="6" numFmtId="0" xfId="0" applyBorder="1" applyFont="1"/>
    <xf borderId="5" fillId="9" fontId="11" numFmtId="0" xfId="0" applyBorder="1" applyFont="1"/>
    <xf borderId="1" fillId="9" fontId="5" numFmtId="0" xfId="0" applyAlignment="1" applyBorder="1" applyFont="1">
      <alignment horizontal="center" shrinkToFit="0" wrapText="1"/>
    </xf>
    <xf borderId="3" fillId="10" fontId="5" numFmtId="0" xfId="0" applyBorder="1" applyFont="1"/>
    <xf borderId="1" fillId="6" fontId="4" numFmtId="0" xfId="0" applyAlignment="1" applyBorder="1" applyFont="1">
      <alignment horizontal="center" shrinkToFit="0" wrapText="1"/>
    </xf>
    <xf borderId="2" fillId="6" fontId="4" numFmtId="0" xfId="0" applyAlignment="1" applyBorder="1" applyFont="1">
      <alignment shrinkToFit="0" wrapText="1"/>
    </xf>
    <xf borderId="3" fillId="6" fontId="4" numFmtId="0" xfId="0" applyAlignment="1" applyBorder="1" applyFont="1">
      <alignment shrinkToFit="0" wrapText="1"/>
    </xf>
    <xf borderId="3" fillId="6" fontId="4" numFmtId="0" xfId="0" applyAlignment="1" applyBorder="1" applyFont="1">
      <alignment horizontal="center" shrinkToFit="0" wrapText="1"/>
    </xf>
    <xf borderId="1" fillId="8" fontId="5" numFmtId="0" xfId="0" applyAlignment="1" applyBorder="1" applyFont="1">
      <alignment horizontal="center" shrinkToFit="0" wrapText="1"/>
    </xf>
    <xf borderId="1" fillId="10" fontId="5" numFmtId="0" xfId="0" applyAlignment="1" applyBorder="1" applyFont="1">
      <alignment horizontal="center" shrinkToFit="0" wrapText="1"/>
    </xf>
    <xf borderId="1" fillId="11" fontId="5" numFmtId="0" xfId="0" applyAlignment="1" applyBorder="1" applyFont="1">
      <alignment horizontal="center" shrinkToFit="0" wrapText="1"/>
    </xf>
    <xf borderId="0" fillId="7" fontId="5" numFmtId="0" xfId="0" applyAlignment="1" applyFont="1">
      <alignment horizontal="center" shrinkToFit="0" wrapText="1"/>
    </xf>
    <xf borderId="1" fillId="5" fontId="4" numFmtId="0" xfId="0" applyAlignment="1" applyBorder="1" applyFont="1">
      <alignment horizontal="center" readingOrder="0" shrinkToFit="0" wrapText="1"/>
    </xf>
    <xf borderId="1" fillId="2" fontId="2" numFmtId="0" xfId="0" applyAlignment="1" applyBorder="1" applyFont="1">
      <alignment horizontal="center" readingOrder="0"/>
    </xf>
    <xf borderId="1" fillId="8" fontId="1" numFmtId="0" xfId="0" applyBorder="1" applyFont="1"/>
    <xf borderId="1" fillId="6" fontId="8" numFmtId="0" xfId="0" applyAlignment="1" applyBorder="1" applyFont="1">
      <alignment shrinkToFit="0" wrapText="1"/>
    </xf>
    <xf borderId="1" fillId="6" fontId="1" numFmtId="0" xfId="0" applyBorder="1" applyFont="1"/>
    <xf borderId="0" fillId="7" fontId="1" numFmtId="0" xfId="0" applyFont="1"/>
    <xf borderId="1" fillId="3" fontId="4" numFmtId="0" xfId="0" applyAlignment="1" applyBorder="1" applyFont="1">
      <alignment horizontal="center" readingOrder="0" shrinkToFit="0" wrapText="1"/>
    </xf>
    <xf borderId="0" fillId="0" fontId="10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FF00FF"/>
          <bgColor rgb="FFFF00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75"/>
  <cols>
    <col customWidth="1" min="1" max="1" width="14.38"/>
    <col customWidth="1" min="2" max="2" width="15.13"/>
    <col customWidth="1" min="7" max="7" width="14.38"/>
    <col customWidth="1" min="21" max="21" width="16.88"/>
    <col customWidth="1" min="22" max="22" width="17.75"/>
    <col customWidth="1" min="28" max="28" width="14.38"/>
    <col customWidth="1" min="37" max="37" width="13.63"/>
    <col customWidth="1" min="38" max="38" width="15.88"/>
    <col customWidth="1" min="44" max="44" width="15.5"/>
    <col customWidth="1" min="45" max="45" width="13.88"/>
    <col customWidth="1" min="50" max="50" width="16.0"/>
    <col customWidth="1" min="57" max="57" width="15.13"/>
    <col customWidth="1" min="64" max="65" width="15.75"/>
  </cols>
  <sheetData>
    <row r="1">
      <c r="A1" s="1"/>
      <c r="B1" s="2" t="s">
        <v>0</v>
      </c>
      <c r="C1" s="3" t="s">
        <v>0</v>
      </c>
      <c r="D1" s="4"/>
      <c r="E1" s="3" t="s">
        <v>0</v>
      </c>
      <c r="F1" s="4"/>
      <c r="G1" s="3" t="s">
        <v>0</v>
      </c>
      <c r="H1" s="4"/>
      <c r="I1" s="2" t="s">
        <v>0</v>
      </c>
      <c r="J1" s="3" t="s">
        <v>0</v>
      </c>
      <c r="K1" s="4"/>
      <c r="L1" s="5" t="s">
        <v>1</v>
      </c>
      <c r="M1" s="4"/>
      <c r="N1" s="5" t="s">
        <v>1</v>
      </c>
      <c r="O1" s="4"/>
      <c r="P1" s="6" t="s">
        <v>1</v>
      </c>
      <c r="Q1" s="5" t="s">
        <v>1</v>
      </c>
      <c r="R1" s="4"/>
      <c r="S1" s="5" t="s">
        <v>1</v>
      </c>
      <c r="T1" s="4"/>
      <c r="U1" s="6" t="s">
        <v>1</v>
      </c>
      <c r="V1" s="7" t="s">
        <v>1</v>
      </c>
      <c r="W1" s="8" t="s">
        <v>2</v>
      </c>
      <c r="X1" s="4"/>
      <c r="Y1" s="9" t="s">
        <v>2</v>
      </c>
      <c r="Z1" s="4"/>
      <c r="AA1" s="9" t="s">
        <v>2</v>
      </c>
      <c r="AB1" s="4"/>
      <c r="AC1" s="10" t="s">
        <v>2</v>
      </c>
      <c r="AD1" s="10" t="s">
        <v>2</v>
      </c>
      <c r="AE1" s="11" t="s">
        <v>2</v>
      </c>
      <c r="AF1" s="12" t="s">
        <v>3</v>
      </c>
      <c r="AG1" s="13" t="s">
        <v>3</v>
      </c>
      <c r="AH1" s="4"/>
      <c r="AI1" s="13" t="s">
        <v>3</v>
      </c>
      <c r="AJ1" s="4"/>
      <c r="AK1" s="12" t="s">
        <v>3</v>
      </c>
      <c r="AL1" s="13" t="s">
        <v>3</v>
      </c>
      <c r="AM1" s="4"/>
      <c r="AN1" s="13" t="s">
        <v>3</v>
      </c>
      <c r="AO1" s="4"/>
      <c r="AP1" s="14" t="s">
        <v>3</v>
      </c>
      <c r="AQ1" s="12" t="s">
        <v>3</v>
      </c>
      <c r="AR1" s="2" t="s">
        <v>4</v>
      </c>
      <c r="AS1" s="2" t="s">
        <v>4</v>
      </c>
      <c r="AT1" s="2" t="s">
        <v>4</v>
      </c>
      <c r="AU1" s="2" t="s">
        <v>4</v>
      </c>
      <c r="AV1" s="2" t="s">
        <v>4</v>
      </c>
      <c r="AW1" s="2" t="s">
        <v>4</v>
      </c>
      <c r="AX1" s="6" t="s">
        <v>5</v>
      </c>
      <c r="AY1" s="6" t="s">
        <v>5</v>
      </c>
      <c r="AZ1" s="6" t="s">
        <v>5</v>
      </c>
      <c r="BA1" s="6" t="s">
        <v>5</v>
      </c>
      <c r="BB1" s="6" t="s">
        <v>5</v>
      </c>
      <c r="BC1" s="6" t="s">
        <v>5</v>
      </c>
      <c r="BD1" s="7" t="s">
        <v>5</v>
      </c>
      <c r="BE1" s="6" t="s">
        <v>5</v>
      </c>
      <c r="BF1" s="10" t="s">
        <v>6</v>
      </c>
      <c r="BG1" s="10" t="s">
        <v>6</v>
      </c>
      <c r="BH1" s="10" t="s">
        <v>6</v>
      </c>
      <c r="BI1" s="10" t="s">
        <v>6</v>
      </c>
      <c r="BJ1" s="10" t="s">
        <v>6</v>
      </c>
      <c r="BK1" s="10" t="s">
        <v>6</v>
      </c>
      <c r="BL1" s="12" t="s">
        <v>7</v>
      </c>
      <c r="BM1" s="12" t="s">
        <v>7</v>
      </c>
      <c r="BN1" s="12" t="s">
        <v>7</v>
      </c>
      <c r="BO1" s="12" t="s">
        <v>7</v>
      </c>
      <c r="BP1" s="12" t="s">
        <v>7</v>
      </c>
      <c r="BQ1" s="12" t="s">
        <v>7</v>
      </c>
      <c r="BR1" s="12" t="s">
        <v>7</v>
      </c>
      <c r="BS1" s="15"/>
    </row>
    <row r="2">
      <c r="A2" s="16" t="s">
        <v>8</v>
      </c>
      <c r="B2" s="17" t="s">
        <v>9</v>
      </c>
      <c r="C2" s="18" t="s">
        <v>10</v>
      </c>
      <c r="D2" s="4"/>
      <c r="E2" s="19" t="s">
        <v>11</v>
      </c>
      <c r="F2" s="4"/>
      <c r="G2" s="20" t="s">
        <v>12</v>
      </c>
      <c r="H2" s="4"/>
      <c r="I2" s="17" t="s">
        <v>13</v>
      </c>
      <c r="J2" s="20" t="s">
        <v>14</v>
      </c>
      <c r="K2" s="4"/>
      <c r="L2" s="21" t="s">
        <v>15</v>
      </c>
      <c r="M2" s="4"/>
      <c r="N2" s="21" t="s">
        <v>16</v>
      </c>
      <c r="O2" s="4"/>
      <c r="P2" s="22" t="s">
        <v>17</v>
      </c>
      <c r="Q2" s="21" t="s">
        <v>18</v>
      </c>
      <c r="R2" s="4"/>
      <c r="S2" s="23" t="s">
        <v>10</v>
      </c>
      <c r="T2" s="4"/>
      <c r="U2" s="22" t="s">
        <v>19</v>
      </c>
      <c r="V2" s="22" t="s">
        <v>20</v>
      </c>
      <c r="W2" s="24" t="s">
        <v>21</v>
      </c>
      <c r="X2" s="4"/>
      <c r="Y2" s="25" t="s">
        <v>22</v>
      </c>
      <c r="Z2" s="4"/>
      <c r="AA2" s="26" t="s">
        <v>10</v>
      </c>
      <c r="AB2" s="4"/>
      <c r="AC2" s="27" t="s">
        <v>19</v>
      </c>
      <c r="AD2" s="27" t="s">
        <v>20</v>
      </c>
      <c r="AE2" s="28" t="s">
        <v>23</v>
      </c>
      <c r="AF2" s="29" t="s">
        <v>9</v>
      </c>
      <c r="AG2" s="30" t="s">
        <v>18</v>
      </c>
      <c r="AH2" s="4"/>
      <c r="AI2" s="30" t="s">
        <v>12</v>
      </c>
      <c r="AJ2" s="4"/>
      <c r="AK2" s="29" t="s">
        <v>24</v>
      </c>
      <c r="AL2" s="31" t="s">
        <v>14</v>
      </c>
      <c r="AM2" s="4"/>
      <c r="AN2" s="31" t="s">
        <v>25</v>
      </c>
      <c r="AO2" s="4"/>
      <c r="AP2" s="32" t="s">
        <v>26</v>
      </c>
      <c r="AQ2" s="29" t="s">
        <v>23</v>
      </c>
      <c r="AR2" s="17" t="s">
        <v>9</v>
      </c>
      <c r="AS2" s="17" t="s">
        <v>27</v>
      </c>
      <c r="AT2" s="17" t="s">
        <v>19</v>
      </c>
      <c r="AU2" s="17" t="s">
        <v>24</v>
      </c>
      <c r="AV2" s="17" t="s">
        <v>28</v>
      </c>
      <c r="AW2" s="17" t="s">
        <v>23</v>
      </c>
      <c r="AX2" s="22" t="s">
        <v>29</v>
      </c>
      <c r="AY2" s="22" t="s">
        <v>20</v>
      </c>
      <c r="AZ2" s="22" t="s">
        <v>30</v>
      </c>
      <c r="BA2" s="22" t="s">
        <v>31</v>
      </c>
      <c r="BB2" s="22" t="s">
        <v>24</v>
      </c>
      <c r="BC2" s="22" t="s">
        <v>32</v>
      </c>
      <c r="BD2" s="33" t="s">
        <v>33</v>
      </c>
      <c r="BE2" s="22" t="s">
        <v>23</v>
      </c>
      <c r="BF2" s="27" t="s">
        <v>34</v>
      </c>
      <c r="BG2" s="27" t="s">
        <v>13</v>
      </c>
      <c r="BH2" s="27" t="s">
        <v>30</v>
      </c>
      <c r="BI2" s="27" t="s">
        <v>35</v>
      </c>
      <c r="BJ2" s="27" t="s">
        <v>24</v>
      </c>
      <c r="BK2" s="27" t="s">
        <v>23</v>
      </c>
      <c r="BL2" s="29" t="s">
        <v>9</v>
      </c>
      <c r="BM2" s="29" t="s">
        <v>34</v>
      </c>
      <c r="BN2" s="29" t="s">
        <v>17</v>
      </c>
      <c r="BO2" s="29" t="s">
        <v>32</v>
      </c>
      <c r="BP2" s="29" t="s">
        <v>23</v>
      </c>
      <c r="BQ2" s="29" t="s">
        <v>26</v>
      </c>
      <c r="BR2" s="29" t="s">
        <v>36</v>
      </c>
      <c r="BS2" s="34"/>
    </row>
    <row r="3">
      <c r="A3" s="16" t="s">
        <v>37</v>
      </c>
      <c r="B3" s="2" t="s">
        <v>38</v>
      </c>
      <c r="C3" s="2" t="s">
        <v>38</v>
      </c>
      <c r="D3" s="2" t="s">
        <v>39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38</v>
      </c>
      <c r="J3" s="2" t="s">
        <v>38</v>
      </c>
      <c r="K3" s="2" t="s">
        <v>39</v>
      </c>
      <c r="L3" s="6" t="s">
        <v>38</v>
      </c>
      <c r="M3" s="7" t="s">
        <v>39</v>
      </c>
      <c r="N3" s="6" t="s">
        <v>38</v>
      </c>
      <c r="O3" s="6" t="s">
        <v>39</v>
      </c>
      <c r="P3" s="6" t="s">
        <v>38</v>
      </c>
      <c r="Q3" s="6" t="s">
        <v>38</v>
      </c>
      <c r="R3" s="6" t="s">
        <v>39</v>
      </c>
      <c r="S3" s="6" t="s">
        <v>38</v>
      </c>
      <c r="T3" s="6" t="s">
        <v>39</v>
      </c>
      <c r="U3" s="6" t="s">
        <v>38</v>
      </c>
      <c r="V3" s="6" t="s">
        <v>38</v>
      </c>
      <c r="W3" s="35" t="s">
        <v>38</v>
      </c>
      <c r="X3" s="35" t="s">
        <v>39</v>
      </c>
      <c r="Y3" s="10" t="s">
        <v>38</v>
      </c>
      <c r="Z3" s="10" t="s">
        <v>39</v>
      </c>
      <c r="AA3" s="10" t="s">
        <v>38</v>
      </c>
      <c r="AB3" s="10" t="s">
        <v>39</v>
      </c>
      <c r="AC3" s="10" t="s">
        <v>38</v>
      </c>
      <c r="AD3" s="10" t="s">
        <v>38</v>
      </c>
      <c r="AE3" s="36" t="s">
        <v>40</v>
      </c>
      <c r="AF3" s="12" t="s">
        <v>38</v>
      </c>
      <c r="AG3" s="12" t="s">
        <v>38</v>
      </c>
      <c r="AH3" s="12" t="s">
        <v>39</v>
      </c>
      <c r="AI3" s="12" t="s">
        <v>38</v>
      </c>
      <c r="AJ3" s="12" t="s">
        <v>39</v>
      </c>
      <c r="AK3" s="12" t="s">
        <v>38</v>
      </c>
      <c r="AL3" s="12" t="s">
        <v>38</v>
      </c>
      <c r="AM3" s="12" t="s">
        <v>39</v>
      </c>
      <c r="AN3" s="14" t="s">
        <v>38</v>
      </c>
      <c r="AO3" s="14" t="s">
        <v>39</v>
      </c>
      <c r="AP3" s="14" t="s">
        <v>40</v>
      </c>
      <c r="AQ3" s="12" t="s">
        <v>40</v>
      </c>
      <c r="AR3" s="2" t="s">
        <v>39</v>
      </c>
      <c r="AS3" s="2" t="s">
        <v>39</v>
      </c>
      <c r="AT3" s="2" t="s">
        <v>39</v>
      </c>
      <c r="AU3" s="2" t="s">
        <v>39</v>
      </c>
      <c r="AV3" s="2" t="s">
        <v>39</v>
      </c>
      <c r="AW3" s="2" t="s">
        <v>40</v>
      </c>
      <c r="AX3" s="6" t="s">
        <v>39</v>
      </c>
      <c r="AY3" s="6" t="s">
        <v>39</v>
      </c>
      <c r="AZ3" s="6" t="s">
        <v>39</v>
      </c>
      <c r="BA3" s="6" t="s">
        <v>39</v>
      </c>
      <c r="BB3" s="6" t="s">
        <v>39</v>
      </c>
      <c r="BC3" s="6" t="s">
        <v>39</v>
      </c>
      <c r="BD3" s="7" t="s">
        <v>39</v>
      </c>
      <c r="BE3" s="6" t="s">
        <v>40</v>
      </c>
      <c r="BF3" s="10" t="s">
        <v>39</v>
      </c>
      <c r="BG3" s="10" t="s">
        <v>39</v>
      </c>
      <c r="BH3" s="10" t="s">
        <v>39</v>
      </c>
      <c r="BI3" s="10" t="s">
        <v>39</v>
      </c>
      <c r="BJ3" s="10" t="s">
        <v>39</v>
      </c>
      <c r="BK3" s="10" t="s">
        <v>40</v>
      </c>
      <c r="BL3" s="12" t="s">
        <v>39</v>
      </c>
      <c r="BM3" s="12" t="s">
        <v>39</v>
      </c>
      <c r="BN3" s="12" t="s">
        <v>39</v>
      </c>
      <c r="BO3" s="12" t="s">
        <v>39</v>
      </c>
      <c r="BP3" s="12" t="s">
        <v>40</v>
      </c>
      <c r="BQ3" s="12" t="s">
        <v>40</v>
      </c>
      <c r="BR3" s="12" t="s">
        <v>39</v>
      </c>
      <c r="BS3" s="15"/>
    </row>
    <row r="4">
      <c r="A4" s="16" t="s">
        <v>41</v>
      </c>
      <c r="B4" s="37" t="s">
        <v>42</v>
      </c>
      <c r="C4" s="38" t="s">
        <v>43</v>
      </c>
      <c r="D4" s="4"/>
      <c r="E4" s="3" t="s">
        <v>44</v>
      </c>
      <c r="F4" s="4"/>
      <c r="G4" s="38" t="s">
        <v>45</v>
      </c>
      <c r="H4" s="4"/>
      <c r="I4" s="37" t="s">
        <v>46</v>
      </c>
      <c r="J4" s="38" t="s">
        <v>47</v>
      </c>
      <c r="K4" s="4"/>
      <c r="L4" s="5" t="s">
        <v>48</v>
      </c>
      <c r="M4" s="4"/>
      <c r="N4" s="5" t="s">
        <v>49</v>
      </c>
      <c r="O4" s="4"/>
      <c r="P4" s="6" t="s">
        <v>50</v>
      </c>
      <c r="Q4" s="39" t="s">
        <v>51</v>
      </c>
      <c r="R4" s="4"/>
      <c r="S4" s="39" t="s">
        <v>43</v>
      </c>
      <c r="T4" s="4"/>
      <c r="U4" s="7" t="s">
        <v>52</v>
      </c>
      <c r="V4" s="7" t="s">
        <v>53</v>
      </c>
      <c r="W4" s="8" t="s">
        <v>54</v>
      </c>
      <c r="X4" s="4"/>
      <c r="Y4" s="9" t="s">
        <v>55</v>
      </c>
      <c r="Z4" s="4"/>
      <c r="AA4" s="8" t="s">
        <v>43</v>
      </c>
      <c r="AB4" s="4"/>
      <c r="AC4" s="35" t="s">
        <v>52</v>
      </c>
      <c r="AD4" s="35" t="s">
        <v>53</v>
      </c>
      <c r="AE4" s="40" t="s">
        <v>56</v>
      </c>
      <c r="AF4" s="14" t="s">
        <v>42</v>
      </c>
      <c r="AG4" s="41" t="s">
        <v>51</v>
      </c>
      <c r="AH4" s="4"/>
      <c r="AI4" s="41" t="s">
        <v>45</v>
      </c>
      <c r="AJ4" s="4"/>
      <c r="AK4" s="12" t="s">
        <v>57</v>
      </c>
      <c r="AL4" s="41" t="s">
        <v>47</v>
      </c>
      <c r="AM4" s="4"/>
      <c r="AN4" s="41" t="s">
        <v>58</v>
      </c>
      <c r="AO4" s="4"/>
      <c r="AP4" s="14" t="s">
        <v>44</v>
      </c>
      <c r="AQ4" s="14" t="s">
        <v>53</v>
      </c>
      <c r="AR4" s="2" t="s">
        <v>59</v>
      </c>
      <c r="AS4" s="2" t="s">
        <v>56</v>
      </c>
      <c r="AT4" s="37" t="s">
        <v>60</v>
      </c>
      <c r="AU4" s="2" t="s">
        <v>61</v>
      </c>
      <c r="AV4" s="2" t="s">
        <v>57</v>
      </c>
      <c r="AW4" s="37" t="s">
        <v>48</v>
      </c>
      <c r="AX4" s="7" t="s">
        <v>62</v>
      </c>
      <c r="AY4" s="7" t="s">
        <v>53</v>
      </c>
      <c r="AZ4" s="7" t="s">
        <v>60</v>
      </c>
      <c r="BA4" s="6" t="s">
        <v>63</v>
      </c>
      <c r="BB4" s="6" t="s">
        <v>61</v>
      </c>
      <c r="BC4" s="6" t="s">
        <v>57</v>
      </c>
      <c r="BD4" s="7" t="s">
        <v>49</v>
      </c>
      <c r="BE4" s="6" t="s">
        <v>48</v>
      </c>
      <c r="BF4" s="35" t="s">
        <v>58</v>
      </c>
      <c r="BG4" s="35" t="s">
        <v>46</v>
      </c>
      <c r="BH4" s="35" t="s">
        <v>60</v>
      </c>
      <c r="BI4" s="35" t="s">
        <v>64</v>
      </c>
      <c r="BJ4" s="10" t="s">
        <v>61</v>
      </c>
      <c r="BK4" s="35" t="s">
        <v>48</v>
      </c>
      <c r="BL4" s="12" t="s">
        <v>59</v>
      </c>
      <c r="BM4" s="12" t="s">
        <v>56</v>
      </c>
      <c r="BN4" s="12" t="s">
        <v>50</v>
      </c>
      <c r="BO4" s="12" t="s">
        <v>57</v>
      </c>
      <c r="BP4" s="12" t="s">
        <v>61</v>
      </c>
      <c r="BQ4" s="12" t="s">
        <v>44</v>
      </c>
      <c r="BR4" s="12" t="s">
        <v>49</v>
      </c>
      <c r="BS4" s="15"/>
    </row>
    <row r="5">
      <c r="A5" s="42" t="s">
        <v>65</v>
      </c>
      <c r="B5" s="37">
        <v>16.0</v>
      </c>
      <c r="C5" s="38">
        <v>2.0</v>
      </c>
      <c r="D5" s="4"/>
      <c r="E5" s="3">
        <v>11.0</v>
      </c>
      <c r="F5" s="4"/>
      <c r="G5" s="38">
        <v>9.0</v>
      </c>
      <c r="H5" s="4"/>
      <c r="I5" s="2">
        <v>13.0</v>
      </c>
      <c r="J5" s="3">
        <v>3.0</v>
      </c>
      <c r="K5" s="4"/>
      <c r="L5" s="5">
        <v>18.0</v>
      </c>
      <c r="M5" s="4"/>
      <c r="N5" s="5">
        <v>5.0</v>
      </c>
      <c r="O5" s="4"/>
      <c r="P5" s="6">
        <v>6.0</v>
      </c>
      <c r="Q5" s="5">
        <v>12.0</v>
      </c>
      <c r="R5" s="4"/>
      <c r="S5" s="39">
        <v>2.0</v>
      </c>
      <c r="T5" s="4"/>
      <c r="U5" s="6">
        <v>15.0</v>
      </c>
      <c r="V5" s="6">
        <v>14.0</v>
      </c>
      <c r="W5" s="8">
        <v>18.0</v>
      </c>
      <c r="X5" s="4"/>
      <c r="Y5" s="9">
        <v>4.0</v>
      </c>
      <c r="Z5" s="4"/>
      <c r="AA5" s="9">
        <v>10.0</v>
      </c>
      <c r="AB5" s="4"/>
      <c r="AC5" s="10">
        <v>15.0</v>
      </c>
      <c r="AD5" s="10">
        <v>14.0</v>
      </c>
      <c r="AE5" s="43">
        <v>1.0</v>
      </c>
      <c r="AF5" s="12">
        <v>16.0</v>
      </c>
      <c r="AG5" s="13">
        <v>12.0</v>
      </c>
      <c r="AH5" s="4"/>
      <c r="AI5" s="41">
        <v>9.0</v>
      </c>
      <c r="AJ5" s="4"/>
      <c r="AK5" s="14">
        <v>7.0</v>
      </c>
      <c r="AL5" s="13">
        <v>3.0</v>
      </c>
      <c r="AM5" s="4"/>
      <c r="AN5" s="13">
        <v>1.0</v>
      </c>
      <c r="AO5" s="4"/>
      <c r="AP5" s="14">
        <v>11.0</v>
      </c>
      <c r="AQ5" s="14">
        <v>14.0</v>
      </c>
      <c r="AR5" s="2">
        <v>17.0</v>
      </c>
      <c r="AS5" s="2">
        <v>4.0</v>
      </c>
      <c r="AT5" s="2">
        <v>9.0</v>
      </c>
      <c r="AU5" s="2">
        <v>8.0</v>
      </c>
      <c r="AV5" s="2">
        <v>7.0</v>
      </c>
      <c r="AW5" s="37">
        <v>18.0</v>
      </c>
      <c r="AX5" s="7">
        <v>17.0</v>
      </c>
      <c r="AY5" s="6">
        <v>14.0</v>
      </c>
      <c r="AZ5" s="7">
        <v>13.0</v>
      </c>
      <c r="BA5" s="6">
        <v>15.0</v>
      </c>
      <c r="BB5" s="6">
        <v>8.0</v>
      </c>
      <c r="BC5" s="6">
        <v>7.0</v>
      </c>
      <c r="BD5" s="7">
        <v>5.0</v>
      </c>
      <c r="BE5" s="6">
        <v>18.0</v>
      </c>
      <c r="BF5" s="35">
        <v>1.0</v>
      </c>
      <c r="BG5" s="10">
        <v>13.0</v>
      </c>
      <c r="BH5" s="35">
        <v>6.0</v>
      </c>
      <c r="BI5" s="10">
        <v>12.0</v>
      </c>
      <c r="BJ5" s="10">
        <v>8.0</v>
      </c>
      <c r="BK5" s="35">
        <v>18.0</v>
      </c>
      <c r="BL5" s="12">
        <v>17.0</v>
      </c>
      <c r="BM5" s="12">
        <v>4.0</v>
      </c>
      <c r="BN5" s="12">
        <v>6.0</v>
      </c>
      <c r="BO5" s="12">
        <v>7.0</v>
      </c>
      <c r="BP5" s="12">
        <v>8.0</v>
      </c>
      <c r="BQ5" s="12">
        <v>11.0</v>
      </c>
      <c r="BR5" s="12">
        <v>5.0</v>
      </c>
      <c r="BS5" s="15"/>
    </row>
    <row r="6">
      <c r="A6" s="42" t="s">
        <v>66</v>
      </c>
      <c r="B6" s="2">
        <f t="shared" ref="B6:L6" si="1">COUNTa(B8:B32)</f>
        <v>12</v>
      </c>
      <c r="C6" s="2">
        <f t="shared" si="1"/>
        <v>16</v>
      </c>
      <c r="D6" s="2">
        <f t="shared" si="1"/>
        <v>2</v>
      </c>
      <c r="E6" s="2">
        <f t="shared" si="1"/>
        <v>5</v>
      </c>
      <c r="F6" s="2">
        <f t="shared" si="1"/>
        <v>1</v>
      </c>
      <c r="G6" s="2">
        <f t="shared" si="1"/>
        <v>19</v>
      </c>
      <c r="H6" s="2">
        <f t="shared" si="1"/>
        <v>1</v>
      </c>
      <c r="I6" s="2">
        <f t="shared" si="1"/>
        <v>11</v>
      </c>
      <c r="J6" s="2">
        <f t="shared" si="1"/>
        <v>9</v>
      </c>
      <c r="K6" s="2">
        <f t="shared" si="1"/>
        <v>2</v>
      </c>
      <c r="L6" s="6">
        <f t="shared" si="1"/>
        <v>8</v>
      </c>
      <c r="M6" s="7">
        <v>1.0</v>
      </c>
      <c r="N6" s="6">
        <f t="shared" ref="N6:U6" si="2">COUNTa(N8:N32)</f>
        <v>12</v>
      </c>
      <c r="O6" s="6">
        <f t="shared" si="2"/>
        <v>2</v>
      </c>
      <c r="P6" s="6">
        <f t="shared" si="2"/>
        <v>9</v>
      </c>
      <c r="Q6" s="6">
        <f t="shared" si="2"/>
        <v>9</v>
      </c>
      <c r="R6" s="6">
        <f t="shared" si="2"/>
        <v>1</v>
      </c>
      <c r="S6" s="6">
        <f t="shared" si="2"/>
        <v>16</v>
      </c>
      <c r="T6" s="6">
        <f t="shared" si="2"/>
        <v>1</v>
      </c>
      <c r="U6" s="6">
        <f t="shared" si="2"/>
        <v>10</v>
      </c>
      <c r="V6" s="6">
        <f>COUNTA(V8:V34)</f>
        <v>20</v>
      </c>
      <c r="W6" s="10">
        <f t="shared" ref="W6:AT6" si="3">COUNTa(W8:W32)</f>
        <v>9</v>
      </c>
      <c r="X6" s="10">
        <f t="shared" si="3"/>
        <v>4</v>
      </c>
      <c r="Y6" s="10">
        <f t="shared" si="3"/>
        <v>17</v>
      </c>
      <c r="Z6" s="10">
        <f t="shared" si="3"/>
        <v>3</v>
      </c>
      <c r="AA6" s="10">
        <f t="shared" si="3"/>
        <v>16</v>
      </c>
      <c r="AB6" s="10">
        <f t="shared" si="3"/>
        <v>2</v>
      </c>
      <c r="AC6" s="10">
        <f t="shared" si="3"/>
        <v>11</v>
      </c>
      <c r="AD6" s="10">
        <f t="shared" si="3"/>
        <v>14</v>
      </c>
      <c r="AE6" s="36">
        <f t="shared" si="3"/>
        <v>10</v>
      </c>
      <c r="AF6" s="12">
        <f t="shared" si="3"/>
        <v>6</v>
      </c>
      <c r="AG6" s="12">
        <f t="shared" si="3"/>
        <v>15</v>
      </c>
      <c r="AH6" s="12">
        <f t="shared" si="3"/>
        <v>3</v>
      </c>
      <c r="AI6" s="12">
        <f t="shared" si="3"/>
        <v>13</v>
      </c>
      <c r="AJ6" s="12">
        <f t="shared" si="3"/>
        <v>1</v>
      </c>
      <c r="AK6" s="12">
        <f t="shared" si="3"/>
        <v>20</v>
      </c>
      <c r="AL6" s="12">
        <f t="shared" si="3"/>
        <v>7</v>
      </c>
      <c r="AM6" s="12">
        <f t="shared" si="3"/>
        <v>1</v>
      </c>
      <c r="AN6" s="12">
        <f t="shared" si="3"/>
        <v>7</v>
      </c>
      <c r="AO6" s="12">
        <f t="shared" si="3"/>
        <v>0</v>
      </c>
      <c r="AP6" s="14">
        <f t="shared" si="3"/>
        <v>4</v>
      </c>
      <c r="AQ6" s="12">
        <f t="shared" si="3"/>
        <v>13</v>
      </c>
      <c r="AR6" s="2">
        <f t="shared" si="3"/>
        <v>20</v>
      </c>
      <c r="AS6" s="2">
        <f t="shared" si="3"/>
        <v>12</v>
      </c>
      <c r="AT6" s="2">
        <f t="shared" si="3"/>
        <v>8</v>
      </c>
      <c r="AU6" s="2">
        <f>COUNTA(AU8:AU30)</f>
        <v>18</v>
      </c>
      <c r="AV6" s="2">
        <f t="shared" ref="AV6:BB6" si="4">COUNTa(AV8:AV32)</f>
        <v>7</v>
      </c>
      <c r="AW6" s="2">
        <f t="shared" si="4"/>
        <v>13</v>
      </c>
      <c r="AX6" s="6">
        <f t="shared" si="4"/>
        <v>17</v>
      </c>
      <c r="AY6" s="6">
        <f t="shared" si="4"/>
        <v>4</v>
      </c>
      <c r="AZ6" s="6">
        <f t="shared" si="4"/>
        <v>12</v>
      </c>
      <c r="BA6" s="6">
        <f t="shared" si="4"/>
        <v>9</v>
      </c>
      <c r="BB6" s="6">
        <f t="shared" si="4"/>
        <v>10</v>
      </c>
      <c r="BC6" s="6">
        <f t="shared" ref="BC6:BD6" si="5">COUNTa(BC8:BC33)</f>
        <v>11</v>
      </c>
      <c r="BD6" s="6">
        <f t="shared" si="5"/>
        <v>10</v>
      </c>
      <c r="BE6" s="6">
        <f t="shared" ref="BE6:BF6" si="6">COUNTa(BE8:BE32)</f>
        <v>13</v>
      </c>
      <c r="BF6" s="10">
        <f t="shared" si="6"/>
        <v>11</v>
      </c>
      <c r="BG6" s="10">
        <f>COUNTA(BG8:BG17)</f>
        <v>8</v>
      </c>
      <c r="BH6" s="10">
        <f t="shared" ref="BH6:BJ6" si="7">COUNTa(BH8:BH32)</f>
        <v>18</v>
      </c>
      <c r="BI6" s="10">
        <f t="shared" si="7"/>
        <v>16</v>
      </c>
      <c r="BJ6" s="10">
        <f t="shared" si="7"/>
        <v>11</v>
      </c>
      <c r="BK6" s="10">
        <f>COUNTA(BK8:BK37)</f>
        <v>17</v>
      </c>
      <c r="BL6" s="12">
        <f t="shared" ref="BL6:BR6" si="8">COUNTa(BL8:BL32)</f>
        <v>15</v>
      </c>
      <c r="BM6" s="12">
        <f t="shared" si="8"/>
        <v>13</v>
      </c>
      <c r="BN6" s="12">
        <f t="shared" si="8"/>
        <v>15</v>
      </c>
      <c r="BO6" s="12">
        <f t="shared" si="8"/>
        <v>4</v>
      </c>
      <c r="BP6" s="12">
        <f t="shared" si="8"/>
        <v>12</v>
      </c>
      <c r="BQ6" s="12">
        <f t="shared" si="8"/>
        <v>16</v>
      </c>
      <c r="BR6" s="12">
        <f t="shared" si="8"/>
        <v>19</v>
      </c>
      <c r="BS6" s="15"/>
    </row>
    <row r="7">
      <c r="A7" s="44" t="s">
        <v>67</v>
      </c>
      <c r="B7" s="2">
        <f>B6</f>
        <v>12</v>
      </c>
      <c r="C7" s="3">
        <f>C6+D6</f>
        <v>18</v>
      </c>
      <c r="D7" s="4"/>
      <c r="E7" s="3">
        <f>E6+F6</f>
        <v>6</v>
      </c>
      <c r="F7" s="4"/>
      <c r="G7" s="3">
        <f>H6+G6</f>
        <v>20</v>
      </c>
      <c r="H7" s="4"/>
      <c r="I7" s="45">
        <f>I6</f>
        <v>11</v>
      </c>
      <c r="J7" s="3">
        <f>K6+J6</f>
        <v>11</v>
      </c>
      <c r="K7" s="4"/>
      <c r="L7" s="5">
        <f>L6+M6</f>
        <v>9</v>
      </c>
      <c r="M7" s="4"/>
      <c r="N7" s="5">
        <f>O6+N6</f>
        <v>14</v>
      </c>
      <c r="O7" s="4"/>
      <c r="P7" s="6">
        <f>P6</f>
        <v>9</v>
      </c>
      <c r="Q7" s="5">
        <f>Q6+R6</f>
        <v>10</v>
      </c>
      <c r="R7" s="4"/>
      <c r="S7" s="5">
        <f>T6+S6</f>
        <v>17</v>
      </c>
      <c r="T7" s="4"/>
      <c r="U7" s="46">
        <f t="shared" ref="U7:V7" si="9">U6</f>
        <v>10</v>
      </c>
      <c r="V7" s="6">
        <f t="shared" si="9"/>
        <v>20</v>
      </c>
      <c r="W7" s="47">
        <f>W6+X6</f>
        <v>13</v>
      </c>
      <c r="X7" s="4"/>
      <c r="Y7" s="47">
        <f>Y6+Z6</f>
        <v>20</v>
      </c>
      <c r="Z7" s="4"/>
      <c r="AA7" s="47">
        <f>AA6+AB6</f>
        <v>18</v>
      </c>
      <c r="AB7" s="4"/>
      <c r="AC7" s="10">
        <f t="shared" ref="AC7:AF7" si="10">AC6</f>
        <v>11</v>
      </c>
      <c r="AD7" s="10">
        <f t="shared" si="10"/>
        <v>14</v>
      </c>
      <c r="AE7" s="36">
        <f t="shared" si="10"/>
        <v>10</v>
      </c>
      <c r="AF7" s="12">
        <f t="shared" si="10"/>
        <v>6</v>
      </c>
      <c r="AG7" s="13">
        <f>AG6+AH6</f>
        <v>18</v>
      </c>
      <c r="AH7" s="4"/>
      <c r="AI7" s="13">
        <f>AJ6+AI6</f>
        <v>14</v>
      </c>
      <c r="AJ7" s="4"/>
      <c r="AK7" s="12">
        <f>AK6</f>
        <v>20</v>
      </c>
      <c r="AL7" s="13">
        <f>AM6+AL6</f>
        <v>8</v>
      </c>
      <c r="AM7" s="4"/>
      <c r="AN7" s="13">
        <f>AN6+AO6</f>
        <v>7</v>
      </c>
      <c r="AO7" s="4"/>
      <c r="AP7" s="12">
        <f t="shared" ref="AP7:BR7" si="11">AP6</f>
        <v>4</v>
      </c>
      <c r="AQ7" s="12">
        <f t="shared" si="11"/>
        <v>13</v>
      </c>
      <c r="AR7" s="2">
        <f t="shared" si="11"/>
        <v>20</v>
      </c>
      <c r="AS7" s="2">
        <f t="shared" si="11"/>
        <v>12</v>
      </c>
      <c r="AT7" s="2">
        <f t="shared" si="11"/>
        <v>8</v>
      </c>
      <c r="AU7" s="2">
        <f t="shared" si="11"/>
        <v>18</v>
      </c>
      <c r="AV7" s="2">
        <f t="shared" si="11"/>
        <v>7</v>
      </c>
      <c r="AW7" s="2">
        <f t="shared" si="11"/>
        <v>13</v>
      </c>
      <c r="AX7" s="6">
        <f t="shared" si="11"/>
        <v>17</v>
      </c>
      <c r="AY7" s="6">
        <f t="shared" si="11"/>
        <v>4</v>
      </c>
      <c r="AZ7" s="6">
        <f t="shared" si="11"/>
        <v>12</v>
      </c>
      <c r="BA7" s="6">
        <f t="shared" si="11"/>
        <v>9</v>
      </c>
      <c r="BB7" s="6">
        <f t="shared" si="11"/>
        <v>10</v>
      </c>
      <c r="BC7" s="6">
        <f t="shared" si="11"/>
        <v>11</v>
      </c>
      <c r="BD7" s="6">
        <f t="shared" si="11"/>
        <v>10</v>
      </c>
      <c r="BE7" s="6">
        <f t="shared" si="11"/>
        <v>13</v>
      </c>
      <c r="BF7" s="10">
        <f t="shared" si="11"/>
        <v>11</v>
      </c>
      <c r="BG7" s="10">
        <f t="shared" si="11"/>
        <v>8</v>
      </c>
      <c r="BH7" s="10">
        <f t="shared" si="11"/>
        <v>18</v>
      </c>
      <c r="BI7" s="10">
        <f t="shared" si="11"/>
        <v>16</v>
      </c>
      <c r="BJ7" s="10">
        <f t="shared" si="11"/>
        <v>11</v>
      </c>
      <c r="BK7" s="10">
        <f t="shared" si="11"/>
        <v>17</v>
      </c>
      <c r="BL7" s="12">
        <f t="shared" si="11"/>
        <v>15</v>
      </c>
      <c r="BM7" s="12">
        <f t="shared" si="11"/>
        <v>13</v>
      </c>
      <c r="BN7" s="12">
        <f t="shared" si="11"/>
        <v>15</v>
      </c>
      <c r="BO7" s="12">
        <f t="shared" si="11"/>
        <v>4</v>
      </c>
      <c r="BP7" s="12">
        <f t="shared" si="11"/>
        <v>12</v>
      </c>
      <c r="BQ7" s="12">
        <f t="shared" si="11"/>
        <v>16</v>
      </c>
      <c r="BR7" s="12">
        <f t="shared" si="11"/>
        <v>19</v>
      </c>
      <c r="BS7" s="15"/>
    </row>
    <row r="8">
      <c r="A8" s="48">
        <v>1.0</v>
      </c>
      <c r="B8" s="49" t="s">
        <v>68</v>
      </c>
      <c r="C8" s="50" t="s">
        <v>69</v>
      </c>
      <c r="D8" s="51" t="s">
        <v>70</v>
      </c>
      <c r="E8" s="51" t="s">
        <v>71</v>
      </c>
      <c r="F8" s="51" t="s">
        <v>72</v>
      </c>
      <c r="G8" s="51" t="s">
        <v>73</v>
      </c>
      <c r="H8" s="51" t="s">
        <v>74</v>
      </c>
      <c r="I8" s="51" t="s">
        <v>75</v>
      </c>
      <c r="J8" s="51" t="s">
        <v>76</v>
      </c>
      <c r="K8" s="51"/>
      <c r="L8" s="52" t="s">
        <v>73</v>
      </c>
      <c r="M8" s="52" t="s">
        <v>77</v>
      </c>
      <c r="N8" s="53" t="s">
        <v>76</v>
      </c>
      <c r="O8" s="52" t="s">
        <v>78</v>
      </c>
      <c r="P8" s="53" t="s">
        <v>79</v>
      </c>
      <c r="Q8" s="52" t="s">
        <v>80</v>
      </c>
      <c r="R8" s="52" t="s">
        <v>81</v>
      </c>
      <c r="S8" s="52" t="s">
        <v>82</v>
      </c>
      <c r="T8" s="52"/>
      <c r="U8" s="53" t="s">
        <v>83</v>
      </c>
      <c r="V8" s="53" t="s">
        <v>84</v>
      </c>
      <c r="W8" s="54" t="s">
        <v>85</v>
      </c>
      <c r="X8" s="54" t="s">
        <v>86</v>
      </c>
      <c r="Y8" s="55" t="s">
        <v>76</v>
      </c>
      <c r="Z8" s="54" t="s">
        <v>87</v>
      </c>
      <c r="AA8" s="56" t="s">
        <v>88</v>
      </c>
      <c r="AB8" s="54" t="s">
        <v>73</v>
      </c>
      <c r="AC8" s="54" t="s">
        <v>89</v>
      </c>
      <c r="AD8" s="54" t="s">
        <v>90</v>
      </c>
      <c r="AE8" s="54" t="s">
        <v>91</v>
      </c>
      <c r="AF8" s="57" t="s">
        <v>92</v>
      </c>
      <c r="AG8" s="57" t="s">
        <v>79</v>
      </c>
      <c r="AH8" s="57" t="s">
        <v>85</v>
      </c>
      <c r="AI8" s="57" t="s">
        <v>93</v>
      </c>
      <c r="AJ8" s="58" t="s">
        <v>94</v>
      </c>
      <c r="AK8" s="57" t="s">
        <v>73</v>
      </c>
      <c r="AL8" s="57" t="s">
        <v>95</v>
      </c>
      <c r="AM8" s="57" t="s">
        <v>96</v>
      </c>
      <c r="AN8" s="57" t="s">
        <v>78</v>
      </c>
      <c r="AO8" s="57"/>
      <c r="AP8" s="57"/>
      <c r="AQ8" s="57" t="s">
        <v>97</v>
      </c>
      <c r="AR8" s="51" t="s">
        <v>76</v>
      </c>
      <c r="AS8" s="59" t="s">
        <v>83</v>
      </c>
      <c r="AT8" s="51" t="s">
        <v>79</v>
      </c>
      <c r="AU8" s="59" t="s">
        <v>84</v>
      </c>
      <c r="AV8" s="51" t="s">
        <v>98</v>
      </c>
      <c r="AW8" s="59" t="s">
        <v>99</v>
      </c>
      <c r="AX8" s="52" t="s">
        <v>82</v>
      </c>
      <c r="AY8" s="53" t="s">
        <v>73</v>
      </c>
      <c r="AZ8" s="53" t="s">
        <v>76</v>
      </c>
      <c r="BA8" s="52" t="s">
        <v>100</v>
      </c>
      <c r="BB8" s="52" t="s">
        <v>101</v>
      </c>
      <c r="BC8" s="53" t="s">
        <v>79</v>
      </c>
      <c r="BD8" s="53" t="s">
        <v>84</v>
      </c>
      <c r="BE8" s="60" t="s">
        <v>102</v>
      </c>
      <c r="BF8" s="54" t="s">
        <v>103</v>
      </c>
      <c r="BG8" s="55" t="s">
        <v>99</v>
      </c>
      <c r="BH8" s="54" t="s">
        <v>104</v>
      </c>
      <c r="BI8" s="55" t="s">
        <v>76</v>
      </c>
      <c r="BJ8" s="54" t="s">
        <v>105</v>
      </c>
      <c r="BK8" s="55" t="s">
        <v>73</v>
      </c>
      <c r="BL8" s="57" t="s">
        <v>83</v>
      </c>
      <c r="BM8" s="57" t="s">
        <v>73</v>
      </c>
      <c r="BN8" s="57" t="s">
        <v>99</v>
      </c>
      <c r="BO8" s="61" t="s">
        <v>106</v>
      </c>
      <c r="BP8" s="57" t="s">
        <v>90</v>
      </c>
      <c r="BQ8" s="57" t="s">
        <v>71</v>
      </c>
      <c r="BR8" s="61" t="s">
        <v>107</v>
      </c>
      <c r="BS8" s="62"/>
    </row>
    <row r="9">
      <c r="A9" s="48">
        <f t="shared" ref="A9:A33" si="12">A8+1</f>
        <v>2</v>
      </c>
      <c r="B9" s="49" t="s">
        <v>108</v>
      </c>
      <c r="C9" s="63" t="s">
        <v>109</v>
      </c>
      <c r="D9" s="51" t="s">
        <v>110</v>
      </c>
      <c r="E9" s="51" t="s">
        <v>111</v>
      </c>
      <c r="F9" s="64"/>
      <c r="G9" s="59" t="s">
        <v>83</v>
      </c>
      <c r="H9" s="51"/>
      <c r="I9" s="51" t="s">
        <v>82</v>
      </c>
      <c r="J9" s="51" t="s">
        <v>79</v>
      </c>
      <c r="K9" s="51" t="s">
        <v>112</v>
      </c>
      <c r="L9" s="52" t="s">
        <v>99</v>
      </c>
      <c r="M9" s="52"/>
      <c r="N9" s="53" t="s">
        <v>71</v>
      </c>
      <c r="O9" s="52" t="s">
        <v>113</v>
      </c>
      <c r="P9" s="53" t="s">
        <v>114</v>
      </c>
      <c r="Q9" s="52" t="s">
        <v>115</v>
      </c>
      <c r="R9" s="65"/>
      <c r="S9" s="52" t="s">
        <v>101</v>
      </c>
      <c r="T9" s="66" t="s">
        <v>116</v>
      </c>
      <c r="U9" s="52" t="s">
        <v>107</v>
      </c>
      <c r="V9" s="53" t="s">
        <v>91</v>
      </c>
      <c r="W9" s="54" t="s">
        <v>78</v>
      </c>
      <c r="X9" s="54" t="s">
        <v>117</v>
      </c>
      <c r="Y9" s="54" t="s">
        <v>107</v>
      </c>
      <c r="Z9" s="54" t="s">
        <v>118</v>
      </c>
      <c r="AA9" s="56" t="s">
        <v>119</v>
      </c>
      <c r="AB9" s="55"/>
      <c r="AC9" s="54" t="s">
        <v>115</v>
      </c>
      <c r="AD9" s="54" t="s">
        <v>101</v>
      </c>
      <c r="AE9" s="54" t="s">
        <v>120</v>
      </c>
      <c r="AF9" s="57" t="s">
        <v>87</v>
      </c>
      <c r="AG9" s="57" t="s">
        <v>99</v>
      </c>
      <c r="AH9" s="57" t="s">
        <v>121</v>
      </c>
      <c r="AI9" s="67" t="s">
        <v>122</v>
      </c>
      <c r="AJ9" s="58"/>
      <c r="AK9" s="57" t="s">
        <v>83</v>
      </c>
      <c r="AL9" s="57" t="s">
        <v>123</v>
      </c>
      <c r="AM9" s="57"/>
      <c r="AN9" s="57" t="s">
        <v>113</v>
      </c>
      <c r="AO9" s="68"/>
      <c r="AP9" s="57" t="s">
        <v>76</v>
      </c>
      <c r="AQ9" s="57" t="s">
        <v>115</v>
      </c>
      <c r="AR9" s="51" t="s">
        <v>124</v>
      </c>
      <c r="AS9" s="51" t="s">
        <v>107</v>
      </c>
      <c r="AT9" s="51" t="s">
        <v>125</v>
      </c>
      <c r="AU9" s="51" t="s">
        <v>82</v>
      </c>
      <c r="AV9" s="51" t="s">
        <v>104</v>
      </c>
      <c r="AW9" s="51" t="s">
        <v>126</v>
      </c>
      <c r="AX9" s="52" t="s">
        <v>127</v>
      </c>
      <c r="AY9" s="52" t="s">
        <v>128</v>
      </c>
      <c r="AZ9" s="52" t="s">
        <v>90</v>
      </c>
      <c r="BA9" s="52" t="s">
        <v>114</v>
      </c>
      <c r="BB9" s="52" t="s">
        <v>129</v>
      </c>
      <c r="BC9" s="52" t="s">
        <v>99</v>
      </c>
      <c r="BD9" s="53" t="s">
        <v>130</v>
      </c>
      <c r="BE9" s="53" t="s">
        <v>131</v>
      </c>
      <c r="BF9" s="54" t="s">
        <v>132</v>
      </c>
      <c r="BH9" s="54" t="s">
        <v>133</v>
      </c>
      <c r="BI9" s="54" t="s">
        <v>134</v>
      </c>
      <c r="BJ9" s="54" t="s">
        <v>135</v>
      </c>
      <c r="BK9" s="54" t="s">
        <v>107</v>
      </c>
      <c r="BL9" s="57" t="s">
        <v>79</v>
      </c>
      <c r="BM9" s="61" t="s">
        <v>136</v>
      </c>
      <c r="BN9" s="61" t="s">
        <v>98</v>
      </c>
      <c r="BO9" s="61" t="s">
        <v>126</v>
      </c>
      <c r="BP9" s="57" t="s">
        <v>103</v>
      </c>
      <c r="BQ9" s="61" t="s">
        <v>134</v>
      </c>
      <c r="BR9" s="61" t="s">
        <v>82</v>
      </c>
      <c r="BS9" s="62"/>
    </row>
    <row r="10">
      <c r="A10" s="48">
        <f t="shared" si="12"/>
        <v>3</v>
      </c>
      <c r="B10" s="49" t="s">
        <v>137</v>
      </c>
      <c r="C10" s="63" t="s">
        <v>138</v>
      </c>
      <c r="D10" s="69"/>
      <c r="E10" s="51" t="s">
        <v>139</v>
      </c>
      <c r="F10" s="70"/>
      <c r="G10" s="59"/>
      <c r="H10" s="51"/>
      <c r="I10" s="59" t="s">
        <v>140</v>
      </c>
      <c r="J10" s="51" t="s">
        <v>141</v>
      </c>
      <c r="K10" s="71" t="s">
        <v>142</v>
      </c>
      <c r="L10" s="52" t="s">
        <v>89</v>
      </c>
      <c r="M10" s="52"/>
      <c r="N10" s="53" t="s">
        <v>75</v>
      </c>
      <c r="O10" s="52"/>
      <c r="P10" s="53" t="s">
        <v>97</v>
      </c>
      <c r="Q10" s="52" t="s">
        <v>143</v>
      </c>
      <c r="R10" s="72"/>
      <c r="S10" s="52" t="s">
        <v>131</v>
      </c>
      <c r="T10" s="72"/>
      <c r="U10" s="73" t="s">
        <v>144</v>
      </c>
      <c r="V10" s="53" t="s">
        <v>145</v>
      </c>
      <c r="W10" s="54" t="s">
        <v>146</v>
      </c>
      <c r="X10" s="54" t="s">
        <v>147</v>
      </c>
      <c r="Y10" s="54" t="s">
        <v>82</v>
      </c>
      <c r="Z10" s="54"/>
      <c r="AA10" s="74" t="s">
        <v>148</v>
      </c>
      <c r="AB10" s="54" t="s">
        <v>149</v>
      </c>
      <c r="AC10" s="54" t="s">
        <v>130</v>
      </c>
      <c r="AD10" s="54" t="s">
        <v>131</v>
      </c>
      <c r="AE10" s="54" t="s">
        <v>150</v>
      </c>
      <c r="AF10" s="57" t="s">
        <v>129</v>
      </c>
      <c r="AG10" s="57" t="s">
        <v>91</v>
      </c>
      <c r="AH10" s="57" t="s">
        <v>151</v>
      </c>
      <c r="AI10" s="57" t="s">
        <v>114</v>
      </c>
      <c r="AJ10" s="57"/>
      <c r="AK10" s="57" t="s">
        <v>131</v>
      </c>
      <c r="AL10" s="57" t="s">
        <v>120</v>
      </c>
      <c r="AM10" s="57"/>
      <c r="AN10" s="57" t="s">
        <v>152</v>
      </c>
      <c r="AO10" s="68"/>
      <c r="AP10" s="61" t="s">
        <v>153</v>
      </c>
      <c r="AQ10" s="57" t="s">
        <v>154</v>
      </c>
      <c r="AR10" s="51" t="s">
        <v>155</v>
      </c>
      <c r="AS10" s="51" t="s">
        <v>105</v>
      </c>
      <c r="AT10" s="51" t="s">
        <v>156</v>
      </c>
      <c r="AU10" s="75" t="s">
        <v>157</v>
      </c>
      <c r="AV10" s="51" t="s">
        <v>136</v>
      </c>
      <c r="AW10" s="51" t="s">
        <v>158</v>
      </c>
      <c r="AX10" s="52" t="s">
        <v>159</v>
      </c>
      <c r="AY10" s="53" t="s">
        <v>160</v>
      </c>
      <c r="AZ10" s="52" t="s">
        <v>161</v>
      </c>
      <c r="BA10" s="52" t="s">
        <v>152</v>
      </c>
      <c r="BB10" s="52" t="s">
        <v>162</v>
      </c>
      <c r="BC10" s="52" t="s">
        <v>107</v>
      </c>
      <c r="BD10" s="53" t="s">
        <v>163</v>
      </c>
      <c r="BE10" s="53" t="s">
        <v>89</v>
      </c>
      <c r="BF10" s="54" t="s">
        <v>164</v>
      </c>
      <c r="BG10" s="54" t="s">
        <v>165</v>
      </c>
      <c r="BH10" s="54" t="s">
        <v>166</v>
      </c>
      <c r="BI10" s="54" t="s">
        <v>167</v>
      </c>
      <c r="BJ10" s="54" t="s">
        <v>168</v>
      </c>
      <c r="BK10" s="54" t="s">
        <v>82</v>
      </c>
      <c r="BL10" s="61" t="s">
        <v>105</v>
      </c>
      <c r="BM10" s="61" t="s">
        <v>169</v>
      </c>
      <c r="BN10" s="61" t="s">
        <v>124</v>
      </c>
      <c r="BO10" s="61"/>
      <c r="BP10" s="57" t="s">
        <v>164</v>
      </c>
      <c r="BQ10" s="61" t="s">
        <v>135</v>
      </c>
      <c r="BR10" s="61" t="s">
        <v>170</v>
      </c>
      <c r="BS10" s="62"/>
    </row>
    <row r="11">
      <c r="A11" s="48">
        <f t="shared" si="12"/>
        <v>4</v>
      </c>
      <c r="B11" s="49" t="s">
        <v>171</v>
      </c>
      <c r="C11" s="63" t="s">
        <v>172</v>
      </c>
      <c r="D11" s="69"/>
      <c r="E11" s="51" t="s">
        <v>151</v>
      </c>
      <c r="F11" s="69"/>
      <c r="G11" s="51" t="s">
        <v>173</v>
      </c>
      <c r="H11" s="51"/>
      <c r="I11" s="51" t="s">
        <v>174</v>
      </c>
      <c r="J11" s="51" t="s">
        <v>175</v>
      </c>
      <c r="K11" s="76"/>
      <c r="L11" s="52" t="s">
        <v>163</v>
      </c>
      <c r="M11" s="52"/>
      <c r="N11" s="52" t="s">
        <v>176</v>
      </c>
      <c r="O11" s="72"/>
      <c r="P11" s="53" t="s">
        <v>177</v>
      </c>
      <c r="Q11" s="52" t="s">
        <v>129</v>
      </c>
      <c r="R11" s="72"/>
      <c r="S11" s="53" t="s">
        <v>154</v>
      </c>
      <c r="T11" s="72"/>
      <c r="U11" s="52" t="s">
        <v>87</v>
      </c>
      <c r="V11" s="52" t="s">
        <v>178</v>
      </c>
      <c r="W11" s="55" t="s">
        <v>84</v>
      </c>
      <c r="X11" s="54" t="s">
        <v>151</v>
      </c>
      <c r="Y11" s="54" t="s">
        <v>159</v>
      </c>
      <c r="Z11" s="54" t="s">
        <v>179</v>
      </c>
      <c r="AA11" s="54" t="s">
        <v>180</v>
      </c>
      <c r="AB11" s="77"/>
      <c r="AC11" s="54" t="s">
        <v>143</v>
      </c>
      <c r="AD11" s="54" t="s">
        <v>181</v>
      </c>
      <c r="AE11" s="54"/>
      <c r="AF11" s="57" t="s">
        <v>182</v>
      </c>
      <c r="AG11" s="57" t="s">
        <v>89</v>
      </c>
      <c r="AH11" s="78"/>
      <c r="AI11" s="57" t="s">
        <v>183</v>
      </c>
      <c r="AJ11" s="68"/>
      <c r="AK11" s="57" t="s">
        <v>184</v>
      </c>
      <c r="AL11" s="57" t="s">
        <v>185</v>
      </c>
      <c r="AM11" s="68"/>
      <c r="AN11" s="57"/>
      <c r="AO11" s="68"/>
      <c r="AP11" s="57" t="s">
        <v>84</v>
      </c>
      <c r="AQ11" s="57" t="s">
        <v>186</v>
      </c>
      <c r="AR11" s="51" t="s">
        <v>135</v>
      </c>
      <c r="AS11" s="79" t="s">
        <v>187</v>
      </c>
      <c r="AT11" s="51" t="s">
        <v>188</v>
      </c>
      <c r="AU11" s="51" t="s">
        <v>169</v>
      </c>
      <c r="AV11" s="51" t="s">
        <v>170</v>
      </c>
      <c r="AW11" s="51" t="s">
        <v>189</v>
      </c>
      <c r="AX11" s="52" t="s">
        <v>190</v>
      </c>
      <c r="AY11" s="52" t="s">
        <v>191</v>
      </c>
      <c r="AZ11" s="52" t="s">
        <v>78</v>
      </c>
      <c r="BA11" s="52" t="s">
        <v>151</v>
      </c>
      <c r="BB11" s="52" t="s">
        <v>143</v>
      </c>
      <c r="BC11" s="52" t="s">
        <v>154</v>
      </c>
      <c r="BD11" s="53" t="s">
        <v>94</v>
      </c>
      <c r="BE11" s="53" t="s">
        <v>192</v>
      </c>
      <c r="BF11" s="80" t="s">
        <v>193</v>
      </c>
      <c r="BG11" s="54" t="s">
        <v>194</v>
      </c>
      <c r="BH11" s="54" t="s">
        <v>126</v>
      </c>
      <c r="BI11" s="54" t="s">
        <v>195</v>
      </c>
      <c r="BJ11" s="54" t="s">
        <v>196</v>
      </c>
      <c r="BK11" s="54" t="s">
        <v>136</v>
      </c>
      <c r="BL11" s="61" t="s">
        <v>187</v>
      </c>
      <c r="BM11" s="57" t="s">
        <v>168</v>
      </c>
      <c r="BN11" s="61" t="s">
        <v>129</v>
      </c>
      <c r="BO11" s="57" t="s">
        <v>197</v>
      </c>
      <c r="BP11" s="57" t="s">
        <v>198</v>
      </c>
      <c r="BQ11" s="61" t="s">
        <v>167</v>
      </c>
      <c r="BR11" s="61" t="s">
        <v>133</v>
      </c>
      <c r="BS11" s="62"/>
    </row>
    <row r="12">
      <c r="A12" s="48">
        <f t="shared" si="12"/>
        <v>5</v>
      </c>
      <c r="B12" s="49" t="s">
        <v>199</v>
      </c>
      <c r="C12" s="63" t="s">
        <v>200</v>
      </c>
      <c r="D12" s="69"/>
      <c r="E12" s="63" t="s">
        <v>201</v>
      </c>
      <c r="F12" s="69"/>
      <c r="G12" s="51" t="s">
        <v>202</v>
      </c>
      <c r="H12" s="69"/>
      <c r="I12" s="51" t="s">
        <v>203</v>
      </c>
      <c r="J12" s="51" t="s">
        <v>204</v>
      </c>
      <c r="K12" s="69"/>
      <c r="L12" s="52" t="s">
        <v>162</v>
      </c>
      <c r="M12" s="52"/>
      <c r="N12" s="52" t="s">
        <v>100</v>
      </c>
      <c r="O12" s="72"/>
      <c r="P12" s="53" t="s">
        <v>128</v>
      </c>
      <c r="Q12" s="53" t="s">
        <v>205</v>
      </c>
      <c r="R12" s="81"/>
      <c r="S12" s="53" t="s">
        <v>130</v>
      </c>
      <c r="T12" s="81"/>
      <c r="U12" s="53" t="s">
        <v>159</v>
      </c>
      <c r="V12" s="53" t="s">
        <v>190</v>
      </c>
      <c r="W12" s="54" t="s">
        <v>94</v>
      </c>
      <c r="X12" s="77"/>
      <c r="Y12" s="54" t="s">
        <v>160</v>
      </c>
      <c r="Z12" s="82"/>
      <c r="AA12" s="54" t="s">
        <v>206</v>
      </c>
      <c r="AB12" s="77"/>
      <c r="AC12" s="54" t="s">
        <v>81</v>
      </c>
      <c r="AD12" s="54" t="s">
        <v>207</v>
      </c>
      <c r="AE12" s="54" t="s">
        <v>79</v>
      </c>
      <c r="AF12" s="57"/>
      <c r="AG12" s="57" t="s">
        <v>208</v>
      </c>
      <c r="AH12" s="83"/>
      <c r="AI12" s="57" t="s">
        <v>106</v>
      </c>
      <c r="AJ12" s="68"/>
      <c r="AK12" s="57" t="s">
        <v>118</v>
      </c>
      <c r="AL12" s="57" t="s">
        <v>209</v>
      </c>
      <c r="AM12" s="68"/>
      <c r="AN12" s="57" t="s">
        <v>210</v>
      </c>
      <c r="AO12" s="68"/>
      <c r="AP12" s="57" t="s">
        <v>211</v>
      </c>
      <c r="AQ12" s="57" t="s">
        <v>143</v>
      </c>
      <c r="AR12" s="51" t="s">
        <v>195</v>
      </c>
      <c r="AS12" s="51" t="s">
        <v>212</v>
      </c>
      <c r="AT12" s="84" t="s">
        <v>148</v>
      </c>
      <c r="AU12" s="51" t="s">
        <v>103</v>
      </c>
      <c r="AV12" s="51" t="s">
        <v>213</v>
      </c>
      <c r="AW12" s="51" t="s">
        <v>214</v>
      </c>
      <c r="AX12" s="52" t="s">
        <v>115</v>
      </c>
      <c r="AY12" s="85"/>
      <c r="AZ12" s="52" t="s">
        <v>182</v>
      </c>
      <c r="BA12" s="53" t="s">
        <v>215</v>
      </c>
      <c r="BB12" s="52" t="s">
        <v>216</v>
      </c>
      <c r="BC12" s="85"/>
      <c r="BD12" s="53" t="s">
        <v>217</v>
      </c>
      <c r="BE12" s="53" t="s">
        <v>181</v>
      </c>
      <c r="BF12" s="54" t="s">
        <v>218</v>
      </c>
      <c r="BG12" s="54" t="s">
        <v>219</v>
      </c>
      <c r="BH12" s="54" t="s">
        <v>212</v>
      </c>
      <c r="BI12" s="54" t="s">
        <v>220</v>
      </c>
      <c r="BJ12" s="54" t="s">
        <v>221</v>
      </c>
      <c r="BK12" s="54" t="s">
        <v>169</v>
      </c>
      <c r="BL12" s="61" t="s">
        <v>128</v>
      </c>
      <c r="BM12" s="61" t="s">
        <v>222</v>
      </c>
      <c r="BN12" s="61" t="s">
        <v>205</v>
      </c>
      <c r="BO12" s="57" t="s">
        <v>182</v>
      </c>
      <c r="BP12" s="57" t="s">
        <v>223</v>
      </c>
      <c r="BQ12" s="61" t="s">
        <v>195</v>
      </c>
      <c r="BR12" s="61" t="s">
        <v>224</v>
      </c>
      <c r="BS12" s="62"/>
    </row>
    <row r="13">
      <c r="A13" s="48">
        <f t="shared" si="12"/>
        <v>6</v>
      </c>
      <c r="B13" s="49" t="s">
        <v>225</v>
      </c>
      <c r="C13" s="63" t="s">
        <v>226</v>
      </c>
      <c r="D13" s="69"/>
      <c r="E13" s="51"/>
      <c r="F13" s="69"/>
      <c r="G13" s="51" t="s">
        <v>227</v>
      </c>
      <c r="H13" s="69"/>
      <c r="I13" s="51" t="s">
        <v>228</v>
      </c>
      <c r="J13" s="51" t="s">
        <v>229</v>
      </c>
      <c r="K13" s="69"/>
      <c r="L13" s="52" t="s">
        <v>230</v>
      </c>
      <c r="M13" s="52"/>
      <c r="N13" s="52" t="s">
        <v>146</v>
      </c>
      <c r="O13" s="81"/>
      <c r="P13" s="53" t="s">
        <v>224</v>
      </c>
      <c r="Q13" s="53" t="s">
        <v>231</v>
      </c>
      <c r="R13" s="81"/>
      <c r="S13" s="52" t="s">
        <v>211</v>
      </c>
      <c r="T13" s="81"/>
      <c r="U13" s="53" t="s">
        <v>192</v>
      </c>
      <c r="V13" s="53" t="s">
        <v>95</v>
      </c>
      <c r="W13" s="54" t="s">
        <v>217</v>
      </c>
      <c r="X13" s="77"/>
      <c r="Y13" s="54" t="s">
        <v>154</v>
      </c>
      <c r="Z13" s="77"/>
      <c r="AA13" s="54" t="s">
        <v>190</v>
      </c>
      <c r="AB13" s="77"/>
      <c r="AC13" s="54" t="s">
        <v>232</v>
      </c>
      <c r="AD13" s="54" t="s">
        <v>233</v>
      </c>
      <c r="AE13" s="55" t="s">
        <v>98</v>
      </c>
      <c r="AF13" s="57" t="s">
        <v>234</v>
      </c>
      <c r="AG13" s="57" t="s">
        <v>176</v>
      </c>
      <c r="AH13" s="68"/>
      <c r="AI13" s="57" t="s">
        <v>235</v>
      </c>
      <c r="AJ13" s="68"/>
      <c r="AK13" s="57" t="s">
        <v>181</v>
      </c>
      <c r="AL13" s="86" t="s">
        <v>144</v>
      </c>
      <c r="AM13" s="68"/>
      <c r="AN13" s="57" t="s">
        <v>236</v>
      </c>
      <c r="AO13" s="68"/>
      <c r="AP13" s="83"/>
      <c r="AQ13" s="57" t="s">
        <v>232</v>
      </c>
      <c r="AR13" s="87" t="s">
        <v>168</v>
      </c>
      <c r="AS13" s="88" t="s">
        <v>237</v>
      </c>
      <c r="AT13" s="59" t="s">
        <v>217</v>
      </c>
      <c r="AU13" s="51" t="s">
        <v>238</v>
      </c>
      <c r="AV13" s="51" t="s">
        <v>239</v>
      </c>
      <c r="AW13" s="51" t="s">
        <v>240</v>
      </c>
      <c r="AX13" s="52" t="s">
        <v>95</v>
      </c>
      <c r="AY13" s="89"/>
      <c r="AZ13" s="90" t="s">
        <v>232</v>
      </c>
      <c r="BA13" s="52" t="s">
        <v>176</v>
      </c>
      <c r="BB13" s="52" t="s">
        <v>230</v>
      </c>
      <c r="BC13" s="52" t="s">
        <v>235</v>
      </c>
      <c r="BD13" s="52" t="s">
        <v>241</v>
      </c>
      <c r="BE13" s="53" t="s">
        <v>207</v>
      </c>
      <c r="BF13" s="54" t="s">
        <v>242</v>
      </c>
      <c r="BG13" s="54" t="s">
        <v>243</v>
      </c>
      <c r="BH13" s="54" t="s">
        <v>244</v>
      </c>
      <c r="BI13" s="54" t="s">
        <v>125</v>
      </c>
      <c r="BJ13" s="54" t="s">
        <v>189</v>
      </c>
      <c r="BK13" s="54" t="s">
        <v>187</v>
      </c>
      <c r="BL13" s="57" t="s">
        <v>97</v>
      </c>
      <c r="BM13" s="61" t="s">
        <v>232</v>
      </c>
      <c r="BN13" s="61" t="s">
        <v>77</v>
      </c>
      <c r="BO13" s="61"/>
      <c r="BP13" s="57" t="s">
        <v>180</v>
      </c>
      <c r="BQ13" s="61" t="s">
        <v>183</v>
      </c>
      <c r="BR13" s="61" t="s">
        <v>245</v>
      </c>
      <c r="BS13" s="62"/>
    </row>
    <row r="14">
      <c r="A14" s="48">
        <f t="shared" si="12"/>
        <v>7</v>
      </c>
      <c r="B14" s="49" t="s">
        <v>246</v>
      </c>
      <c r="C14" s="63" t="s">
        <v>247</v>
      </c>
      <c r="D14" s="69"/>
      <c r="E14" s="51"/>
      <c r="F14" s="69"/>
      <c r="G14" s="51" t="s">
        <v>248</v>
      </c>
      <c r="H14" s="69"/>
      <c r="I14" s="51"/>
      <c r="J14" s="51" t="s">
        <v>249</v>
      </c>
      <c r="K14" s="69"/>
      <c r="L14" s="53" t="s">
        <v>250</v>
      </c>
      <c r="M14" s="52"/>
      <c r="N14" s="53" t="s">
        <v>207</v>
      </c>
      <c r="O14" s="81"/>
      <c r="P14" s="53" t="s">
        <v>251</v>
      </c>
      <c r="Q14" s="53" t="s">
        <v>119</v>
      </c>
      <c r="R14" s="81"/>
      <c r="S14" s="53" t="s">
        <v>197</v>
      </c>
      <c r="T14" s="81"/>
      <c r="U14" s="53" t="s">
        <v>203</v>
      </c>
      <c r="V14" s="53" t="s">
        <v>94</v>
      </c>
      <c r="W14" s="54" t="s">
        <v>245</v>
      </c>
      <c r="X14" s="77"/>
      <c r="Y14" s="54" t="s">
        <v>161</v>
      </c>
      <c r="Z14" s="77"/>
      <c r="AA14" s="54" t="s">
        <v>176</v>
      </c>
      <c r="AB14" s="77"/>
      <c r="AD14" s="54" t="s">
        <v>222</v>
      </c>
      <c r="AE14" s="54" t="s">
        <v>145</v>
      </c>
      <c r="AF14" s="57" t="s">
        <v>150</v>
      </c>
      <c r="AG14" s="57" t="s">
        <v>163</v>
      </c>
      <c r="AH14" s="68"/>
      <c r="AI14" s="57" t="s">
        <v>77</v>
      </c>
      <c r="AJ14" s="68"/>
      <c r="AK14" s="57" t="s">
        <v>233</v>
      </c>
      <c r="AL14" s="61" t="s">
        <v>252</v>
      </c>
      <c r="AM14" s="68"/>
      <c r="AN14" s="91" t="s">
        <v>148</v>
      </c>
      <c r="AO14" s="68"/>
      <c r="AP14" s="57"/>
      <c r="AQ14" s="57" t="s">
        <v>88</v>
      </c>
      <c r="AR14" s="51" t="s">
        <v>203</v>
      </c>
      <c r="AS14" s="51" t="s">
        <v>253</v>
      </c>
      <c r="AT14" s="51" t="s">
        <v>221</v>
      </c>
      <c r="AU14" s="51" t="s">
        <v>137</v>
      </c>
      <c r="AW14" s="51" t="s">
        <v>254</v>
      </c>
      <c r="AX14" s="52" t="s">
        <v>123</v>
      </c>
      <c r="AY14" s="92"/>
      <c r="AZ14" s="52" t="s">
        <v>198</v>
      </c>
      <c r="BA14" s="52" t="s">
        <v>85</v>
      </c>
      <c r="BB14" s="93" t="s">
        <v>68</v>
      </c>
      <c r="BC14" s="52" t="s">
        <v>77</v>
      </c>
      <c r="BD14" s="53" t="s">
        <v>211</v>
      </c>
      <c r="BE14" s="94" t="s">
        <v>210</v>
      </c>
      <c r="BF14" s="54" t="s">
        <v>255</v>
      </c>
      <c r="BG14" s="55" t="s">
        <v>256</v>
      </c>
      <c r="BH14" s="54" t="s">
        <v>257</v>
      </c>
      <c r="BI14" s="54" t="s">
        <v>151</v>
      </c>
      <c r="BJ14" s="54" t="s">
        <v>258</v>
      </c>
      <c r="BK14" s="54" t="s">
        <v>259</v>
      </c>
      <c r="BL14" s="57" t="s">
        <v>260</v>
      </c>
      <c r="BM14" s="61" t="s">
        <v>235</v>
      </c>
      <c r="BN14" s="61" t="s">
        <v>88</v>
      </c>
      <c r="BO14" s="61"/>
      <c r="BP14" s="95" t="s">
        <v>148</v>
      </c>
      <c r="BQ14" s="61" t="s">
        <v>94</v>
      </c>
      <c r="BR14" s="61" t="s">
        <v>251</v>
      </c>
      <c r="BS14" s="62"/>
    </row>
    <row r="15">
      <c r="A15" s="48">
        <f t="shared" si="12"/>
        <v>8</v>
      </c>
      <c r="B15" s="49" t="s">
        <v>261</v>
      </c>
      <c r="C15" s="63" t="s">
        <v>262</v>
      </c>
      <c r="D15" s="69"/>
      <c r="E15" s="51"/>
      <c r="F15" s="69"/>
      <c r="G15" s="51" t="s">
        <v>263</v>
      </c>
      <c r="H15" s="69"/>
      <c r="I15" s="51" t="s">
        <v>264</v>
      </c>
      <c r="J15" s="51" t="s">
        <v>265</v>
      </c>
      <c r="K15" s="69"/>
      <c r="L15" s="53" t="s">
        <v>198</v>
      </c>
      <c r="M15" s="52"/>
      <c r="N15" s="53" t="s">
        <v>152</v>
      </c>
      <c r="O15" s="81"/>
      <c r="P15" s="85"/>
      <c r="Q15" s="53" t="s">
        <v>252</v>
      </c>
      <c r="R15" s="81"/>
      <c r="S15" s="53" t="s">
        <v>106</v>
      </c>
      <c r="T15" s="81"/>
      <c r="U15" s="53" t="s">
        <v>222</v>
      </c>
      <c r="V15" s="53" t="s">
        <v>180</v>
      </c>
      <c r="W15" s="54" t="s">
        <v>236</v>
      </c>
      <c r="X15" s="77"/>
      <c r="Y15" s="54" t="s">
        <v>95</v>
      </c>
      <c r="Z15" s="77"/>
      <c r="AA15" s="54" t="s">
        <v>192</v>
      </c>
      <c r="AB15" s="77"/>
      <c r="AC15" s="54" t="s">
        <v>77</v>
      </c>
      <c r="AD15" s="54" t="s">
        <v>162</v>
      </c>
      <c r="AE15" s="96" t="s">
        <v>253</v>
      </c>
      <c r="AF15" s="97"/>
      <c r="AG15" s="57" t="s">
        <v>146</v>
      </c>
      <c r="AH15" s="68"/>
      <c r="AI15" s="57" t="s">
        <v>180</v>
      </c>
      <c r="AJ15" s="68"/>
      <c r="AK15" s="57" t="s">
        <v>81</v>
      </c>
      <c r="AL15" s="68"/>
      <c r="AM15" s="68"/>
      <c r="AN15" s="98" t="s">
        <v>157</v>
      </c>
      <c r="AO15" s="68"/>
      <c r="AP15" s="99"/>
      <c r="AQ15" s="100" t="s">
        <v>127</v>
      </c>
      <c r="AR15" s="101" t="s">
        <v>266</v>
      </c>
      <c r="AS15" s="51" t="s">
        <v>165</v>
      </c>
      <c r="AT15" s="59" t="s">
        <v>252</v>
      </c>
      <c r="AU15" s="51" t="s">
        <v>259</v>
      </c>
      <c r="AV15" s="59" t="s">
        <v>183</v>
      </c>
      <c r="AW15" s="102" t="s">
        <v>256</v>
      </c>
      <c r="AX15" s="52" t="s">
        <v>233</v>
      </c>
      <c r="AY15" s="85"/>
      <c r="AZ15" s="52" t="s">
        <v>267</v>
      </c>
      <c r="BA15" s="52" t="s">
        <v>113</v>
      </c>
      <c r="BB15" s="103" t="s">
        <v>144</v>
      </c>
      <c r="BC15" s="52" t="s">
        <v>224</v>
      </c>
      <c r="BD15" s="53" t="s">
        <v>153</v>
      </c>
      <c r="BE15" s="93" t="s">
        <v>197</v>
      </c>
      <c r="BF15" s="54" t="s">
        <v>239</v>
      </c>
      <c r="BG15" s="55" t="s">
        <v>268</v>
      </c>
      <c r="BH15" s="54" t="s">
        <v>237</v>
      </c>
      <c r="BI15" s="55" t="s">
        <v>100</v>
      </c>
      <c r="BJ15" s="54" t="s">
        <v>240</v>
      </c>
      <c r="BK15" s="55" t="s">
        <v>269</v>
      </c>
      <c r="BL15" s="61" t="s">
        <v>210</v>
      </c>
      <c r="BM15" s="61" t="s">
        <v>185</v>
      </c>
      <c r="BN15" s="57" t="s">
        <v>231</v>
      </c>
      <c r="BO15" s="61"/>
      <c r="BP15" s="57" t="s">
        <v>179</v>
      </c>
      <c r="BQ15" s="61" t="s">
        <v>217</v>
      </c>
      <c r="BR15" s="61" t="s">
        <v>215</v>
      </c>
      <c r="BS15" s="62"/>
    </row>
    <row r="16">
      <c r="A16" s="48">
        <f t="shared" si="12"/>
        <v>9</v>
      </c>
      <c r="B16" s="51" t="s">
        <v>270</v>
      </c>
      <c r="C16" s="63" t="s">
        <v>271</v>
      </c>
      <c r="D16" s="69"/>
      <c r="E16" s="51"/>
      <c r="F16" s="69"/>
      <c r="G16" s="51" t="s">
        <v>272</v>
      </c>
      <c r="H16" s="69"/>
      <c r="I16" s="51" t="s">
        <v>273</v>
      </c>
      <c r="J16" s="51" t="s">
        <v>274</v>
      </c>
      <c r="K16" s="69"/>
      <c r="L16" s="85"/>
      <c r="M16" s="52"/>
      <c r="N16" s="53" t="s">
        <v>147</v>
      </c>
      <c r="O16" s="81"/>
      <c r="P16" s="104" t="s">
        <v>148</v>
      </c>
      <c r="Q16" s="66" t="s">
        <v>239</v>
      </c>
      <c r="R16" s="81"/>
      <c r="S16" s="53" t="s">
        <v>232</v>
      </c>
      <c r="T16" s="81"/>
      <c r="U16" s="53" t="s">
        <v>236</v>
      </c>
      <c r="V16" s="53" t="s">
        <v>245</v>
      </c>
      <c r="W16" s="54" t="s">
        <v>191</v>
      </c>
      <c r="X16" s="77"/>
      <c r="Y16" s="54" t="s">
        <v>197</v>
      </c>
      <c r="Z16" s="77"/>
      <c r="AA16" s="54" t="s">
        <v>100</v>
      </c>
      <c r="AB16" s="77"/>
      <c r="AC16" s="54" t="s">
        <v>231</v>
      </c>
      <c r="AD16" s="54" t="s">
        <v>235</v>
      </c>
      <c r="AE16" s="54" t="s">
        <v>267</v>
      </c>
      <c r="AF16" s="57"/>
      <c r="AG16" s="57" t="s">
        <v>198</v>
      </c>
      <c r="AH16" s="68"/>
      <c r="AI16" s="57" t="s">
        <v>245</v>
      </c>
      <c r="AJ16" s="68"/>
      <c r="AK16" s="57" t="s">
        <v>222</v>
      </c>
      <c r="AL16" s="68"/>
      <c r="AM16" s="68"/>
      <c r="AN16" s="57"/>
      <c r="AO16" s="68"/>
      <c r="AP16" s="105"/>
      <c r="AQ16" s="57" t="s">
        <v>275</v>
      </c>
      <c r="AR16" s="51" t="s">
        <v>276</v>
      </c>
      <c r="AS16" s="51" t="s">
        <v>194</v>
      </c>
      <c r="AT16" s="106"/>
      <c r="AU16" s="107" t="s">
        <v>277</v>
      </c>
      <c r="AW16" s="51" t="s">
        <v>243</v>
      </c>
      <c r="AX16" s="52" t="s">
        <v>273</v>
      </c>
      <c r="AY16" s="52"/>
      <c r="AZ16" s="52" t="s">
        <v>150</v>
      </c>
      <c r="BA16" s="53" t="s">
        <v>71</v>
      </c>
      <c r="BB16" s="53" t="s">
        <v>206</v>
      </c>
      <c r="BC16" s="52" t="s">
        <v>252</v>
      </c>
      <c r="BD16" s="53" t="s">
        <v>236</v>
      </c>
      <c r="BE16" s="53" t="s">
        <v>81</v>
      </c>
      <c r="BF16" s="108"/>
      <c r="BG16" s="55" t="s">
        <v>102</v>
      </c>
      <c r="BH16" s="54" t="s">
        <v>213</v>
      </c>
      <c r="BI16" s="55" t="s">
        <v>278</v>
      </c>
      <c r="BJ16" s="54"/>
      <c r="BK16" s="54" t="s">
        <v>279</v>
      </c>
      <c r="BL16" s="61" t="s">
        <v>244</v>
      </c>
      <c r="BM16" s="61" t="s">
        <v>150</v>
      </c>
      <c r="BN16" s="61" t="s">
        <v>280</v>
      </c>
      <c r="BO16" s="61"/>
      <c r="BP16" s="98" t="s">
        <v>157</v>
      </c>
      <c r="BQ16" s="61" t="s">
        <v>152</v>
      </c>
      <c r="BR16" s="57" t="s">
        <v>281</v>
      </c>
      <c r="BS16" s="62"/>
    </row>
    <row r="17">
      <c r="A17" s="48">
        <f t="shared" si="12"/>
        <v>10</v>
      </c>
      <c r="B17" s="49" t="s">
        <v>282</v>
      </c>
      <c r="C17" s="63" t="s">
        <v>214</v>
      </c>
      <c r="D17" s="69"/>
      <c r="E17" s="51"/>
      <c r="F17" s="69"/>
      <c r="G17" s="51" t="s">
        <v>283</v>
      </c>
      <c r="H17" s="69"/>
      <c r="I17" s="51"/>
      <c r="J17" s="51"/>
      <c r="K17" s="69"/>
      <c r="L17" s="85"/>
      <c r="M17" s="65"/>
      <c r="N17" s="53" t="s">
        <v>151</v>
      </c>
      <c r="O17" s="81"/>
      <c r="P17" s="60" t="s">
        <v>215</v>
      </c>
      <c r="Q17" s="109"/>
      <c r="R17" s="81"/>
      <c r="S17" s="53" t="s">
        <v>93</v>
      </c>
      <c r="T17" s="81"/>
      <c r="U17" s="53" t="s">
        <v>284</v>
      </c>
      <c r="V17" s="53" t="s">
        <v>260</v>
      </c>
      <c r="W17" s="54"/>
      <c r="X17" s="77"/>
      <c r="Y17" s="54" t="s">
        <v>284</v>
      </c>
      <c r="Z17" s="77"/>
      <c r="AA17" s="54" t="s">
        <v>114</v>
      </c>
      <c r="AB17" s="77"/>
      <c r="AC17" s="54" t="s">
        <v>153</v>
      </c>
      <c r="AD17" s="55" t="s">
        <v>223</v>
      </c>
      <c r="AE17" s="54" t="s">
        <v>83</v>
      </c>
      <c r="AF17" s="57"/>
      <c r="AG17" s="57" t="s">
        <v>147</v>
      </c>
      <c r="AH17" s="68"/>
      <c r="AI17" s="57" t="s">
        <v>216</v>
      </c>
      <c r="AJ17" s="68"/>
      <c r="AK17" s="57"/>
      <c r="AL17" s="68"/>
      <c r="AM17" s="68"/>
      <c r="AN17" s="57"/>
      <c r="AO17" s="68"/>
      <c r="AP17" s="68"/>
      <c r="AQ17" s="57" t="s">
        <v>68</v>
      </c>
      <c r="AR17" s="51" t="s">
        <v>193</v>
      </c>
      <c r="AS17" s="51" t="s">
        <v>219</v>
      </c>
      <c r="AT17" s="106"/>
      <c r="AU17" s="51" t="s">
        <v>279</v>
      </c>
      <c r="AV17" s="59"/>
      <c r="AW17" s="51" t="s">
        <v>175</v>
      </c>
      <c r="AX17" s="52" t="s">
        <v>194</v>
      </c>
      <c r="AY17" s="110"/>
      <c r="AZ17" s="52" t="s">
        <v>147</v>
      </c>
      <c r="BA17" s="72"/>
      <c r="BB17" s="53" t="s">
        <v>268</v>
      </c>
      <c r="BC17" s="52" t="s">
        <v>250</v>
      </c>
      <c r="BD17" s="53" t="s">
        <v>86</v>
      </c>
      <c r="BE17" s="53" t="s">
        <v>205</v>
      </c>
      <c r="BF17" s="111" t="s">
        <v>144</v>
      </c>
      <c r="BG17" s="112"/>
      <c r="BH17" s="54" t="s">
        <v>158</v>
      </c>
      <c r="BI17" s="54" t="s">
        <v>285</v>
      </c>
      <c r="BJ17" s="54" t="s">
        <v>127</v>
      </c>
      <c r="BK17" s="113" t="s">
        <v>188</v>
      </c>
      <c r="BL17" s="61" t="s">
        <v>211</v>
      </c>
      <c r="BM17" s="57" t="s">
        <v>155</v>
      </c>
      <c r="BN17" s="61" t="s">
        <v>119</v>
      </c>
      <c r="BO17" s="97"/>
      <c r="BP17" s="57" t="s">
        <v>212</v>
      </c>
      <c r="BQ17" s="61" t="s">
        <v>211</v>
      </c>
      <c r="BR17" s="61" t="s">
        <v>250</v>
      </c>
      <c r="BS17" s="62"/>
    </row>
    <row r="18">
      <c r="A18" s="48">
        <f t="shared" si="12"/>
        <v>11</v>
      </c>
      <c r="B18" s="59" t="s">
        <v>252</v>
      </c>
      <c r="C18" s="63" t="s">
        <v>240</v>
      </c>
      <c r="D18" s="69"/>
      <c r="E18" s="51"/>
      <c r="F18" s="69"/>
      <c r="G18" s="114" t="s">
        <v>286</v>
      </c>
      <c r="H18" s="69"/>
      <c r="I18" s="51" t="s">
        <v>287</v>
      </c>
      <c r="J18" s="69"/>
      <c r="K18" s="69"/>
      <c r="L18" s="65"/>
      <c r="M18" s="65"/>
      <c r="N18" s="52" t="s">
        <v>183</v>
      </c>
      <c r="O18" s="81"/>
      <c r="P18" s="85"/>
      <c r="Q18" s="109"/>
      <c r="R18" s="81"/>
      <c r="S18" s="53" t="s">
        <v>102</v>
      </c>
      <c r="T18" s="81"/>
      <c r="U18" s="53"/>
      <c r="V18" s="53" t="s">
        <v>120</v>
      </c>
      <c r="W18" s="55"/>
      <c r="X18" s="77"/>
      <c r="Y18" s="54" t="s">
        <v>224</v>
      </c>
      <c r="Z18" s="77"/>
      <c r="AA18" s="54" t="s">
        <v>113</v>
      </c>
      <c r="AB18" s="77"/>
      <c r="AC18" s="54" t="s">
        <v>210</v>
      </c>
      <c r="AD18" s="54" t="s">
        <v>185</v>
      </c>
      <c r="AE18" s="55" t="s">
        <v>184</v>
      </c>
      <c r="AF18" s="57"/>
      <c r="AG18" s="57" t="s">
        <v>71</v>
      </c>
      <c r="AH18" s="83"/>
      <c r="AI18" s="115" t="s">
        <v>86</v>
      </c>
      <c r="AJ18" s="68"/>
      <c r="AK18" s="57" t="s">
        <v>223</v>
      </c>
      <c r="AL18" s="68"/>
      <c r="AM18" s="68"/>
      <c r="AN18" s="57"/>
      <c r="AO18" s="68"/>
      <c r="AP18" s="68"/>
      <c r="AQ18" s="57" t="s">
        <v>124</v>
      </c>
      <c r="AR18" s="51" t="s">
        <v>288</v>
      </c>
      <c r="AS18" s="51" t="s">
        <v>184</v>
      </c>
      <c r="AT18" s="106"/>
      <c r="AU18" s="79" t="s">
        <v>289</v>
      </c>
      <c r="AV18" s="51"/>
      <c r="AW18" s="51" t="s">
        <v>281</v>
      </c>
      <c r="AX18" s="52" t="s">
        <v>242</v>
      </c>
      <c r="AY18" s="116"/>
      <c r="AZ18" s="52" t="s">
        <v>83</v>
      </c>
      <c r="BA18" s="72"/>
      <c r="BB18" s="109"/>
      <c r="BC18" s="53" t="s">
        <v>275</v>
      </c>
      <c r="BD18" s="85"/>
      <c r="BE18" s="53" t="s">
        <v>93</v>
      </c>
      <c r="BF18" s="55" t="s">
        <v>182</v>
      </c>
      <c r="BG18" s="77"/>
      <c r="BH18" s="55" t="s">
        <v>184</v>
      </c>
      <c r="BI18" s="54" t="s">
        <v>72</v>
      </c>
      <c r="BJ18" s="54"/>
      <c r="BK18" s="117" t="s">
        <v>290</v>
      </c>
      <c r="BL18" s="61" t="s">
        <v>289</v>
      </c>
      <c r="BM18" s="57" t="s">
        <v>238</v>
      </c>
      <c r="BN18" s="57" t="s">
        <v>161</v>
      </c>
      <c r="BO18" s="118"/>
      <c r="BP18" s="86" t="s">
        <v>144</v>
      </c>
      <c r="BQ18" s="61" t="s">
        <v>236</v>
      </c>
      <c r="BR18" s="57"/>
      <c r="BS18" s="62"/>
    </row>
    <row r="19">
      <c r="A19" s="48">
        <f t="shared" si="12"/>
        <v>12</v>
      </c>
      <c r="B19" s="119" t="s">
        <v>291</v>
      </c>
      <c r="C19" s="63" t="s">
        <v>98</v>
      </c>
      <c r="D19" s="69"/>
      <c r="E19" s="69"/>
      <c r="F19" s="69"/>
      <c r="G19" s="79" t="s">
        <v>254</v>
      </c>
      <c r="H19" s="69"/>
      <c r="I19" s="51" t="s">
        <v>292</v>
      </c>
      <c r="J19" s="69"/>
      <c r="K19" s="69"/>
      <c r="L19" s="65"/>
      <c r="M19" s="65"/>
      <c r="N19" s="53" t="s">
        <v>160</v>
      </c>
      <c r="O19" s="81"/>
      <c r="P19" s="120"/>
      <c r="Q19" s="53"/>
      <c r="R19" s="81"/>
      <c r="S19" s="53" t="s">
        <v>235</v>
      </c>
      <c r="T19" s="81"/>
      <c r="U19" s="121"/>
      <c r="V19" s="53" t="s">
        <v>179</v>
      </c>
      <c r="W19" s="112"/>
      <c r="X19" s="77"/>
      <c r="Y19" s="54" t="s">
        <v>152</v>
      </c>
      <c r="Z19" s="77"/>
      <c r="AA19" s="54" t="s">
        <v>293</v>
      </c>
      <c r="AB19" s="77"/>
      <c r="AC19" s="55" t="s">
        <v>294</v>
      </c>
      <c r="AD19" s="54" t="s">
        <v>230</v>
      </c>
      <c r="AE19" s="108"/>
      <c r="AF19" s="57"/>
      <c r="AG19" s="57" t="s">
        <v>250</v>
      </c>
      <c r="AH19" s="68"/>
      <c r="AI19" s="57" t="s">
        <v>100</v>
      </c>
      <c r="AJ19" s="68"/>
      <c r="AK19" s="57" t="s">
        <v>260</v>
      </c>
      <c r="AL19" s="68"/>
      <c r="AM19" s="68"/>
      <c r="AN19" s="57"/>
      <c r="AO19" s="68"/>
      <c r="AP19" s="68"/>
      <c r="AQ19" s="57" t="s">
        <v>156</v>
      </c>
      <c r="AR19" s="51" t="s">
        <v>278</v>
      </c>
      <c r="AS19" s="51" t="s">
        <v>295</v>
      </c>
      <c r="AT19" s="106"/>
      <c r="AU19" s="51" t="s">
        <v>215</v>
      </c>
      <c r="AV19" s="106"/>
      <c r="AW19" s="59" t="s">
        <v>245</v>
      </c>
      <c r="AX19" s="52" t="s">
        <v>189</v>
      </c>
      <c r="AY19" s="122"/>
      <c r="AZ19" s="52" t="s">
        <v>92</v>
      </c>
      <c r="BA19" s="72"/>
      <c r="BB19" s="123"/>
      <c r="BC19" s="52" t="s">
        <v>234</v>
      </c>
      <c r="BD19" s="52"/>
      <c r="BE19" s="53" t="s">
        <v>260</v>
      </c>
      <c r="BF19" s="124" t="s">
        <v>157</v>
      </c>
      <c r="BG19" s="77"/>
      <c r="BH19" s="54" t="s">
        <v>275</v>
      </c>
      <c r="BI19" s="54" t="s">
        <v>139</v>
      </c>
      <c r="BJ19" s="54" t="s">
        <v>296</v>
      </c>
      <c r="BK19" s="54" t="s">
        <v>277</v>
      </c>
      <c r="BL19" s="125" t="s">
        <v>255</v>
      </c>
      <c r="BM19" s="57" t="s">
        <v>149</v>
      </c>
      <c r="BN19" s="61" t="s">
        <v>230</v>
      </c>
      <c r="BO19" s="118"/>
      <c r="BP19" s="57" t="s">
        <v>162</v>
      </c>
      <c r="BQ19" s="61" t="s">
        <v>147</v>
      </c>
      <c r="BR19" s="61" t="s">
        <v>117</v>
      </c>
      <c r="BS19" s="62"/>
    </row>
    <row r="20">
      <c r="A20" s="48">
        <f t="shared" si="12"/>
        <v>13</v>
      </c>
      <c r="B20" s="126"/>
      <c r="C20" s="59" t="s">
        <v>84</v>
      </c>
      <c r="D20" s="69"/>
      <c r="E20" s="69"/>
      <c r="F20" s="69"/>
      <c r="G20" s="51" t="s">
        <v>256</v>
      </c>
      <c r="H20" s="69"/>
      <c r="I20" s="51" t="s">
        <v>297</v>
      </c>
      <c r="J20" s="69"/>
      <c r="K20" s="69"/>
      <c r="L20" s="72"/>
      <c r="M20" s="72"/>
      <c r="N20" s="109"/>
      <c r="O20" s="81"/>
      <c r="P20" s="53"/>
      <c r="Q20" s="109"/>
      <c r="R20" s="81"/>
      <c r="S20" s="53" t="s">
        <v>182</v>
      </c>
      <c r="T20" s="81"/>
      <c r="U20" s="92"/>
      <c r="V20" s="53" t="s">
        <v>153</v>
      </c>
      <c r="W20" s="54"/>
      <c r="X20" s="77"/>
      <c r="Y20" s="54" t="s">
        <v>211</v>
      </c>
      <c r="Z20" s="77"/>
      <c r="AA20" s="54" t="s">
        <v>129</v>
      </c>
      <c r="AB20" s="77"/>
      <c r="AC20" s="112"/>
      <c r="AD20" s="54" t="s">
        <v>241</v>
      </c>
      <c r="AE20" s="77"/>
      <c r="AF20" s="57"/>
      <c r="AG20" s="57" t="s">
        <v>217</v>
      </c>
      <c r="AH20" s="68"/>
      <c r="AI20" s="127" t="s">
        <v>277</v>
      </c>
      <c r="AJ20" s="68"/>
      <c r="AK20" s="57" t="s">
        <v>179</v>
      </c>
      <c r="AL20" s="68"/>
      <c r="AM20" s="68"/>
      <c r="AN20" s="128"/>
      <c r="AO20" s="68"/>
      <c r="AP20" s="68"/>
      <c r="AQ20" s="57" t="s">
        <v>177</v>
      </c>
      <c r="AR20" s="51" t="s">
        <v>258</v>
      </c>
      <c r="AS20" s="76"/>
      <c r="AT20" s="69"/>
      <c r="AU20" s="51" t="s">
        <v>218</v>
      </c>
      <c r="AV20" s="106"/>
      <c r="AW20" s="129" t="s">
        <v>298</v>
      </c>
      <c r="AX20" s="130" t="s">
        <v>295</v>
      </c>
      <c r="AY20" s="131"/>
      <c r="AZ20" s="52"/>
      <c r="BA20" s="131"/>
      <c r="BB20" s="132"/>
      <c r="BC20" s="131"/>
      <c r="BD20" s="53"/>
      <c r="BE20" s="52" t="s">
        <v>96</v>
      </c>
      <c r="BF20" s="124"/>
      <c r="BG20" s="77"/>
      <c r="BH20" s="54" t="s">
        <v>68</v>
      </c>
      <c r="BI20" s="133" t="s">
        <v>148</v>
      </c>
      <c r="BJ20" s="54" t="s">
        <v>96</v>
      </c>
      <c r="BK20" s="54" t="s">
        <v>288</v>
      </c>
      <c r="BL20" s="57" t="s">
        <v>184</v>
      </c>
      <c r="BM20" s="61" t="s">
        <v>93</v>
      </c>
      <c r="BN20" s="57" t="s">
        <v>140</v>
      </c>
      <c r="BO20" s="118"/>
      <c r="BP20" s="134"/>
      <c r="BQ20" s="57" t="s">
        <v>125</v>
      </c>
      <c r="BR20" s="61" t="s">
        <v>276</v>
      </c>
      <c r="BS20" s="62"/>
    </row>
    <row r="21">
      <c r="A21" s="48">
        <f t="shared" si="12"/>
        <v>14</v>
      </c>
      <c r="B21" s="135"/>
      <c r="C21" s="51" t="s">
        <v>97</v>
      </c>
      <c r="D21" s="69"/>
      <c r="E21" s="69"/>
      <c r="F21" s="69"/>
      <c r="G21" s="51" t="s">
        <v>281</v>
      </c>
      <c r="H21" s="69"/>
      <c r="J21" s="69"/>
      <c r="K21" s="69"/>
      <c r="L21" s="72"/>
      <c r="M21" s="72"/>
      <c r="N21" s="109"/>
      <c r="O21" s="81"/>
      <c r="P21" s="53"/>
      <c r="Q21" s="109"/>
      <c r="R21" s="81"/>
      <c r="S21" s="52" t="s">
        <v>184</v>
      </c>
      <c r="T21" s="81"/>
      <c r="U21" s="73"/>
      <c r="V21" s="136" t="s">
        <v>150</v>
      </c>
      <c r="W21" s="55"/>
      <c r="X21" s="77"/>
      <c r="Y21" s="111" t="s">
        <v>144</v>
      </c>
      <c r="Z21" s="77"/>
      <c r="AA21" s="54" t="s">
        <v>205</v>
      </c>
      <c r="AB21" s="77"/>
      <c r="AC21" s="112"/>
      <c r="AD21" s="137" t="s">
        <v>299</v>
      </c>
      <c r="AE21" s="77"/>
      <c r="AF21" s="57"/>
      <c r="AG21" s="138" t="s">
        <v>160</v>
      </c>
      <c r="AH21" s="68"/>
      <c r="AI21" s="57"/>
      <c r="AJ21" s="68"/>
      <c r="AK21" s="57" t="s">
        <v>267</v>
      </c>
      <c r="AL21" s="68"/>
      <c r="AM21" s="68"/>
      <c r="AN21" s="57"/>
      <c r="AO21" s="68"/>
      <c r="AP21" s="68"/>
      <c r="AQ21" s="68"/>
      <c r="AR21" s="51" t="s">
        <v>300</v>
      </c>
      <c r="AS21" s="51"/>
      <c r="AT21" s="69"/>
      <c r="AU21" s="51" t="s">
        <v>242</v>
      </c>
      <c r="AV21" s="106"/>
      <c r="AW21" s="76"/>
      <c r="AX21" s="53" t="s">
        <v>254</v>
      </c>
      <c r="AY21" s="139"/>
      <c r="AZ21" s="52"/>
      <c r="BA21" s="131"/>
      <c r="BB21" s="131"/>
      <c r="BC21" s="131"/>
      <c r="BD21" s="131"/>
      <c r="BE21" s="52"/>
      <c r="BF21" s="82"/>
      <c r="BG21" s="77"/>
      <c r="BH21" s="54" t="s">
        <v>214</v>
      </c>
      <c r="BI21" s="54" t="s">
        <v>301</v>
      </c>
      <c r="BJ21" s="108"/>
      <c r="BK21" s="54" t="s">
        <v>302</v>
      </c>
      <c r="BL21" s="57" t="s">
        <v>86</v>
      </c>
      <c r="BM21" s="118"/>
      <c r="BN21" s="61" t="s">
        <v>298</v>
      </c>
      <c r="BO21" s="118"/>
      <c r="BP21" s="134"/>
      <c r="BQ21" s="57" t="s">
        <v>220</v>
      </c>
      <c r="BR21" s="61" t="s">
        <v>145</v>
      </c>
      <c r="BS21" s="62"/>
    </row>
    <row r="22">
      <c r="A22" s="48">
        <f t="shared" si="12"/>
        <v>15</v>
      </c>
      <c r="B22" s="140"/>
      <c r="C22" s="49" t="s">
        <v>303</v>
      </c>
      <c r="D22" s="69"/>
      <c r="E22" s="69"/>
      <c r="F22" s="69"/>
      <c r="G22" s="51" t="s">
        <v>243</v>
      </c>
      <c r="H22" s="69"/>
      <c r="I22" s="84"/>
      <c r="J22" s="69"/>
      <c r="K22" s="69"/>
      <c r="L22" s="72"/>
      <c r="M22" s="72"/>
      <c r="N22" s="53"/>
      <c r="O22" s="81"/>
      <c r="P22" s="81"/>
      <c r="Q22" s="109"/>
      <c r="R22" s="81"/>
      <c r="S22" s="53" t="s">
        <v>280</v>
      </c>
      <c r="T22" s="81"/>
      <c r="U22" s="53"/>
      <c r="V22" s="53" t="s">
        <v>86</v>
      </c>
      <c r="W22" s="77"/>
      <c r="X22" s="77"/>
      <c r="Y22" s="54" t="s">
        <v>216</v>
      </c>
      <c r="Z22" s="77"/>
      <c r="AA22" s="54" t="s">
        <v>99</v>
      </c>
      <c r="AB22" s="77"/>
      <c r="AC22" s="112"/>
      <c r="AD22" s="141"/>
      <c r="AE22" s="77"/>
      <c r="AF22" s="68"/>
      <c r="AG22" s="138" t="s">
        <v>291</v>
      </c>
      <c r="AH22" s="68"/>
      <c r="AI22" s="57"/>
      <c r="AJ22" s="68"/>
      <c r="AK22" s="57" t="s">
        <v>149</v>
      </c>
      <c r="AL22" s="68"/>
      <c r="AM22" s="68"/>
      <c r="AN22" s="57"/>
      <c r="AO22" s="68"/>
      <c r="AP22" s="68"/>
      <c r="AQ22" s="68"/>
      <c r="AR22" s="51" t="s">
        <v>297</v>
      </c>
      <c r="AS22" s="59"/>
      <c r="AT22" s="69"/>
      <c r="AU22" s="51" t="s">
        <v>255</v>
      </c>
      <c r="AV22" s="106"/>
      <c r="AW22" s="69"/>
      <c r="AX22" s="52" t="s">
        <v>148</v>
      </c>
      <c r="AY22" s="131"/>
      <c r="AZ22" s="52"/>
      <c r="BA22" s="131"/>
      <c r="BB22" s="131"/>
      <c r="BC22" s="131"/>
      <c r="BD22" s="131"/>
      <c r="BE22" s="120"/>
      <c r="BF22" s="77"/>
      <c r="BG22" s="77"/>
      <c r="BH22" s="55" t="s">
        <v>281</v>
      </c>
      <c r="BI22" s="55" t="s">
        <v>71</v>
      </c>
      <c r="BJ22" s="54"/>
      <c r="BK22" s="55" t="s">
        <v>304</v>
      </c>
      <c r="BL22" s="57" t="s">
        <v>241</v>
      </c>
      <c r="BM22" s="118"/>
      <c r="BN22" s="91" t="s">
        <v>299</v>
      </c>
      <c r="BO22" s="118"/>
      <c r="BP22" s="134"/>
      <c r="BQ22" s="57" t="s">
        <v>151</v>
      </c>
      <c r="BR22" s="61" t="s">
        <v>279</v>
      </c>
      <c r="BS22" s="62"/>
    </row>
    <row r="23">
      <c r="A23" s="48">
        <f t="shared" si="12"/>
        <v>16</v>
      </c>
      <c r="B23" s="140"/>
      <c r="C23" s="51" t="s">
        <v>145</v>
      </c>
      <c r="D23" s="69"/>
      <c r="E23" s="69"/>
      <c r="F23" s="69"/>
      <c r="G23" s="59" t="s">
        <v>121</v>
      </c>
      <c r="H23" s="69"/>
      <c r="I23" s="63"/>
      <c r="J23" s="69"/>
      <c r="K23" s="69"/>
      <c r="L23" s="72"/>
      <c r="M23" s="72"/>
      <c r="N23" s="109"/>
      <c r="O23" s="81"/>
      <c r="P23" s="81"/>
      <c r="Q23" s="120"/>
      <c r="R23" s="81"/>
      <c r="S23" s="53" t="s">
        <v>234</v>
      </c>
      <c r="T23" s="81"/>
      <c r="U23" s="109"/>
      <c r="V23" s="53" t="s">
        <v>149</v>
      </c>
      <c r="W23" s="77"/>
      <c r="X23" s="77"/>
      <c r="Y23" s="54" t="s">
        <v>234</v>
      </c>
      <c r="Z23" s="77"/>
      <c r="AA23" s="54" t="s">
        <v>177</v>
      </c>
      <c r="AB23" s="77"/>
      <c r="AC23" s="142"/>
      <c r="AD23" s="141"/>
      <c r="AE23" s="77"/>
      <c r="AF23" s="83"/>
      <c r="AG23" s="57"/>
      <c r="AH23" s="68"/>
      <c r="AI23" s="57"/>
      <c r="AJ23" s="68"/>
      <c r="AK23" s="138" t="s">
        <v>117</v>
      </c>
      <c r="AL23" s="68"/>
      <c r="AM23" s="68"/>
      <c r="AN23" s="138"/>
      <c r="AO23" s="68"/>
      <c r="AP23" s="68"/>
      <c r="AQ23" s="68"/>
      <c r="AR23" s="51" t="s">
        <v>290</v>
      </c>
      <c r="AS23" s="106"/>
      <c r="AT23" s="69"/>
      <c r="AU23" s="59" t="s">
        <v>305</v>
      </c>
      <c r="AV23" s="106"/>
      <c r="AW23" s="69"/>
      <c r="AX23" s="52" t="s">
        <v>183</v>
      </c>
      <c r="AY23" s="131"/>
      <c r="AZ23" s="52"/>
      <c r="BA23" s="131"/>
      <c r="BB23" s="131"/>
      <c r="BC23" s="131"/>
      <c r="BD23" s="131"/>
      <c r="BE23" s="52"/>
      <c r="BF23" s="77"/>
      <c r="BG23" s="77"/>
      <c r="BH23" s="55" t="s">
        <v>175</v>
      </c>
      <c r="BI23" s="55" t="s">
        <v>306</v>
      </c>
      <c r="BJ23" s="112"/>
      <c r="BK23" s="54" t="s">
        <v>215</v>
      </c>
      <c r="BL23" s="97"/>
      <c r="BM23" s="118"/>
      <c r="BN23" s="118"/>
      <c r="BO23" s="118"/>
      <c r="BP23" s="143"/>
      <c r="BQ23" s="61" t="s">
        <v>266</v>
      </c>
      <c r="BR23" s="57" t="s">
        <v>269</v>
      </c>
      <c r="BS23" s="62"/>
    </row>
    <row r="24">
      <c r="A24" s="48">
        <f t="shared" si="12"/>
        <v>17</v>
      </c>
      <c r="B24" s="140"/>
      <c r="C24" s="76"/>
      <c r="D24" s="69"/>
      <c r="E24" s="69"/>
      <c r="F24" s="69"/>
      <c r="G24" s="129" t="s">
        <v>307</v>
      </c>
      <c r="H24" s="69"/>
      <c r="I24" s="106"/>
      <c r="J24" s="69"/>
      <c r="K24" s="69"/>
      <c r="L24" s="72"/>
      <c r="M24" s="72"/>
      <c r="N24" s="81"/>
      <c r="O24" s="81"/>
      <c r="P24" s="81"/>
      <c r="Q24" s="81"/>
      <c r="R24" s="81"/>
      <c r="S24" s="53"/>
      <c r="T24" s="81"/>
      <c r="U24" s="53"/>
      <c r="V24" s="136" t="s">
        <v>157</v>
      </c>
      <c r="W24" s="77"/>
      <c r="X24" s="77"/>
      <c r="Y24" s="111" t="s">
        <v>275</v>
      </c>
      <c r="Z24" s="77"/>
      <c r="AA24" s="54"/>
      <c r="AB24" s="77"/>
      <c r="AC24" s="112"/>
      <c r="AD24" s="141"/>
      <c r="AE24" s="77"/>
      <c r="AF24" s="68"/>
      <c r="AG24" s="57"/>
      <c r="AH24" s="68"/>
      <c r="AI24" s="83"/>
      <c r="AJ24" s="68"/>
      <c r="AK24" s="57" t="s">
        <v>191</v>
      </c>
      <c r="AL24" s="68"/>
      <c r="AM24" s="68"/>
      <c r="AN24" s="68"/>
      <c r="AO24" s="68"/>
      <c r="AP24" s="68"/>
      <c r="AQ24" s="68"/>
      <c r="AR24" s="88" t="s">
        <v>144</v>
      </c>
      <c r="AS24" s="69"/>
      <c r="AT24" s="69"/>
      <c r="AU24" s="59" t="s">
        <v>177</v>
      </c>
      <c r="AV24" s="106"/>
      <c r="AW24" s="69"/>
      <c r="AX24" s="136" t="s">
        <v>157</v>
      </c>
      <c r="AY24" s="72"/>
      <c r="AZ24" s="120"/>
      <c r="BA24" s="72"/>
      <c r="BB24" s="72"/>
      <c r="BC24" s="72"/>
      <c r="BD24" s="72"/>
      <c r="BE24" s="72"/>
      <c r="BF24" s="77"/>
      <c r="BG24" s="77"/>
      <c r="BH24" s="55" t="s">
        <v>84</v>
      </c>
      <c r="BI24" s="77"/>
      <c r="BJ24" s="112"/>
      <c r="BK24" s="55" t="s">
        <v>216</v>
      </c>
      <c r="BL24" s="118"/>
      <c r="BM24" s="118"/>
      <c r="BN24" s="118"/>
      <c r="BO24" s="118"/>
      <c r="BP24" s="118"/>
      <c r="BQ24" s="144"/>
      <c r="BR24" s="61" t="s">
        <v>259</v>
      </c>
      <c r="BS24" s="62"/>
    </row>
    <row r="25">
      <c r="A25" s="48">
        <f t="shared" si="12"/>
        <v>18</v>
      </c>
      <c r="B25" s="145"/>
      <c r="C25" s="76"/>
      <c r="D25" s="69"/>
      <c r="E25" s="69"/>
      <c r="F25" s="69"/>
      <c r="G25" s="51" t="s">
        <v>90</v>
      </c>
      <c r="H25" s="69"/>
      <c r="I25" s="69"/>
      <c r="J25" s="69"/>
      <c r="K25" s="69"/>
      <c r="L25" s="72"/>
      <c r="M25" s="72"/>
      <c r="N25" s="81"/>
      <c r="O25" s="81"/>
      <c r="P25" s="81"/>
      <c r="Q25" s="81"/>
      <c r="R25" s="81"/>
      <c r="S25" s="116"/>
      <c r="T25" s="81"/>
      <c r="U25" s="52"/>
      <c r="V25" s="109" t="s">
        <v>256</v>
      </c>
      <c r="W25" s="77"/>
      <c r="X25" s="77"/>
      <c r="Y25" s="82"/>
      <c r="Z25" s="77"/>
      <c r="AA25" s="133"/>
      <c r="AB25" s="77"/>
      <c r="AC25" s="77"/>
      <c r="AD25" s="141"/>
      <c r="AE25" s="77"/>
      <c r="AF25" s="105"/>
      <c r="AG25" s="57"/>
      <c r="AH25" s="68"/>
      <c r="AI25" s="68"/>
      <c r="AJ25" s="68"/>
      <c r="AK25" s="57" t="s">
        <v>241</v>
      </c>
      <c r="AL25" s="68"/>
      <c r="AM25" s="68"/>
      <c r="AN25" s="68"/>
      <c r="AO25" s="68"/>
      <c r="AP25" s="68"/>
      <c r="AQ25" s="68"/>
      <c r="AR25" s="51" t="s">
        <v>90</v>
      </c>
      <c r="AS25" s="69"/>
      <c r="AT25" s="69"/>
      <c r="AU25" s="51" t="s">
        <v>145</v>
      </c>
      <c r="AV25" s="69"/>
      <c r="AW25" s="69"/>
      <c r="AX25" s="85"/>
      <c r="AY25" s="72"/>
      <c r="AZ25" s="72"/>
      <c r="BA25" s="72"/>
      <c r="BB25" s="72"/>
      <c r="BC25" s="72"/>
      <c r="BD25" s="72"/>
      <c r="BE25" s="72"/>
      <c r="BF25" s="77"/>
      <c r="BG25" s="77"/>
      <c r="BH25" s="111" t="s">
        <v>298</v>
      </c>
      <c r="BI25" s="77"/>
      <c r="BJ25" s="146"/>
      <c r="BK25" s="141"/>
      <c r="BL25" s="118"/>
      <c r="BM25" s="118"/>
      <c r="BN25" s="118"/>
      <c r="BO25" s="118"/>
      <c r="BP25" s="118"/>
      <c r="BQ25" s="143"/>
      <c r="BR25" s="61" t="s">
        <v>127</v>
      </c>
      <c r="BS25" s="62"/>
    </row>
    <row r="26">
      <c r="A26" s="48">
        <f t="shared" si="12"/>
        <v>19</v>
      </c>
      <c r="B26" s="145"/>
      <c r="C26" s="76"/>
      <c r="D26" s="69"/>
      <c r="E26" s="69"/>
      <c r="F26" s="69"/>
      <c r="G26" s="75" t="s">
        <v>157</v>
      </c>
      <c r="H26" s="69"/>
      <c r="I26" s="69"/>
      <c r="J26" s="69"/>
      <c r="K26" s="69"/>
      <c r="L26" s="72"/>
      <c r="M26" s="72"/>
      <c r="N26" s="81"/>
      <c r="O26" s="81"/>
      <c r="P26" s="81"/>
      <c r="Q26" s="81"/>
      <c r="R26" s="81"/>
      <c r="S26" s="147"/>
      <c r="T26" s="81"/>
      <c r="U26" s="81"/>
      <c r="V26" s="53" t="s">
        <v>268</v>
      </c>
      <c r="W26" s="77"/>
      <c r="X26" s="77"/>
      <c r="Y26" s="77"/>
      <c r="Z26" s="77"/>
      <c r="AA26" s="77"/>
      <c r="AB26" s="77"/>
      <c r="AC26" s="77"/>
      <c r="AD26" s="82"/>
      <c r="AE26" s="77"/>
      <c r="AF26" s="68"/>
      <c r="AG26" s="68"/>
      <c r="AH26" s="68"/>
      <c r="AI26" s="68"/>
      <c r="AJ26" s="68"/>
      <c r="AK26" s="57" t="s">
        <v>90</v>
      </c>
      <c r="AL26" s="68"/>
      <c r="AM26" s="68"/>
      <c r="AN26" s="68"/>
      <c r="AO26" s="68"/>
      <c r="AP26" s="68"/>
      <c r="AQ26" s="68"/>
      <c r="AR26" s="59" t="s">
        <v>299</v>
      </c>
      <c r="AS26" s="69"/>
      <c r="AT26" s="69"/>
      <c r="AU26" s="76"/>
      <c r="AV26" s="148"/>
      <c r="AW26" s="69"/>
      <c r="AX26" s="85"/>
      <c r="AY26" s="72"/>
      <c r="AZ26" s="72"/>
      <c r="BA26" s="72"/>
      <c r="BB26" s="72"/>
      <c r="BC26" s="72"/>
      <c r="BD26" s="72"/>
      <c r="BE26" s="72"/>
      <c r="BF26" s="77"/>
      <c r="BG26" s="77"/>
      <c r="BH26" s="108"/>
      <c r="BI26" s="77"/>
      <c r="BJ26" s="77"/>
      <c r="BK26" s="141"/>
      <c r="BL26" s="118"/>
      <c r="BM26" s="118"/>
      <c r="BN26" s="118"/>
      <c r="BO26" s="118"/>
      <c r="BP26" s="118"/>
      <c r="BQ26" s="118"/>
      <c r="BR26" s="61" t="s">
        <v>252</v>
      </c>
      <c r="BS26" s="62"/>
    </row>
    <row r="27">
      <c r="A27" s="48">
        <f t="shared" si="12"/>
        <v>20</v>
      </c>
      <c r="B27" s="149"/>
      <c r="C27" s="150"/>
      <c r="D27" s="69"/>
      <c r="E27" s="69"/>
      <c r="F27" s="69"/>
      <c r="G27" s="59" t="s">
        <v>184</v>
      </c>
      <c r="H27" s="69"/>
      <c r="I27" s="69"/>
      <c r="J27" s="69"/>
      <c r="K27" s="69"/>
      <c r="L27" s="72"/>
      <c r="M27" s="72"/>
      <c r="N27" s="81"/>
      <c r="O27" s="81"/>
      <c r="P27" s="81"/>
      <c r="Q27" s="147"/>
      <c r="R27" s="81"/>
      <c r="S27" s="147"/>
      <c r="T27" s="81"/>
      <c r="U27" s="81"/>
      <c r="V27" s="53" t="s">
        <v>161</v>
      </c>
      <c r="W27" s="77"/>
      <c r="X27" s="77"/>
      <c r="Y27" s="77"/>
      <c r="Z27" s="77"/>
      <c r="AA27" s="77"/>
      <c r="AB27" s="77"/>
      <c r="AC27" s="77"/>
      <c r="AD27" s="151"/>
      <c r="AE27" s="77"/>
      <c r="AF27" s="68"/>
      <c r="AG27" s="68"/>
      <c r="AH27" s="68"/>
      <c r="AI27" s="68"/>
      <c r="AJ27" s="68"/>
      <c r="AK27" s="57" t="s">
        <v>269</v>
      </c>
      <c r="AL27" s="68"/>
      <c r="AM27" s="68"/>
      <c r="AN27" s="68"/>
      <c r="AO27" s="68"/>
      <c r="AP27" s="68"/>
      <c r="AQ27" s="68"/>
      <c r="AR27" s="59" t="s">
        <v>71</v>
      </c>
      <c r="AS27" s="69"/>
      <c r="AT27" s="69"/>
      <c r="AU27" s="69"/>
      <c r="AV27" s="69"/>
      <c r="AW27" s="69"/>
      <c r="AX27" s="72"/>
      <c r="AY27" s="72"/>
      <c r="AZ27" s="72"/>
      <c r="BA27" s="72"/>
      <c r="BB27" s="72"/>
      <c r="BC27" s="72"/>
      <c r="BD27" s="72"/>
      <c r="BE27" s="72"/>
      <c r="BF27" s="77"/>
      <c r="BG27" s="77"/>
      <c r="BH27" s="77"/>
      <c r="BI27" s="77"/>
      <c r="BJ27" s="77"/>
      <c r="BK27" s="141"/>
      <c r="BL27" s="118"/>
      <c r="BM27" s="118"/>
      <c r="BN27" s="118"/>
      <c r="BO27" s="118"/>
      <c r="BP27" s="118"/>
      <c r="BQ27" s="118"/>
      <c r="BR27" s="57" t="s">
        <v>297</v>
      </c>
      <c r="BS27" s="62"/>
    </row>
    <row r="28">
      <c r="A28" s="48">
        <f t="shared" si="12"/>
        <v>21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72"/>
      <c r="M28" s="72"/>
      <c r="N28" s="81"/>
      <c r="O28" s="81"/>
      <c r="P28" s="81"/>
      <c r="Q28" s="152"/>
      <c r="R28" s="81"/>
      <c r="S28" s="147"/>
      <c r="T28" s="81"/>
      <c r="U28" s="53"/>
      <c r="V28" s="81"/>
      <c r="W28" s="77"/>
      <c r="X28" s="77"/>
      <c r="Y28" s="54"/>
      <c r="Z28" s="77"/>
      <c r="AA28" s="77"/>
      <c r="AB28" s="77"/>
      <c r="AC28" s="77"/>
      <c r="AD28" s="151"/>
      <c r="AE28" s="77"/>
      <c r="AF28" s="68"/>
      <c r="AG28" s="57"/>
      <c r="AH28" s="68"/>
      <c r="AI28" s="68"/>
      <c r="AJ28" s="68"/>
      <c r="AK28" s="57" t="s">
        <v>102</v>
      </c>
      <c r="AL28" s="68"/>
      <c r="AM28" s="68"/>
      <c r="AN28" s="68"/>
      <c r="AO28" s="68"/>
      <c r="AP28" s="68"/>
      <c r="AQ28" s="68"/>
      <c r="AR28" s="69"/>
      <c r="AS28" s="51"/>
      <c r="AT28" s="69"/>
      <c r="AU28" s="69"/>
      <c r="AV28" s="69"/>
      <c r="AW28" s="69"/>
      <c r="AX28" s="72"/>
      <c r="AY28" s="72"/>
      <c r="AZ28" s="72"/>
      <c r="BA28" s="72"/>
      <c r="BB28" s="72"/>
      <c r="BC28" s="52"/>
      <c r="BD28" s="72"/>
      <c r="BE28" s="72"/>
      <c r="BF28" s="77"/>
      <c r="BG28" s="77"/>
      <c r="BH28" s="77"/>
      <c r="BI28" s="77"/>
      <c r="BJ28" s="77"/>
      <c r="BK28" s="141"/>
      <c r="BL28" s="118"/>
      <c r="BM28" s="118"/>
      <c r="BN28" s="118"/>
      <c r="BO28" s="118"/>
      <c r="BP28" s="118"/>
      <c r="BQ28" s="118"/>
      <c r="BR28" s="134"/>
      <c r="BS28" s="62"/>
    </row>
    <row r="29" ht="45.0" customHeight="1">
      <c r="A29" s="48">
        <f t="shared" si="12"/>
        <v>22</v>
      </c>
      <c r="B29" s="17"/>
      <c r="C29" s="17"/>
      <c r="D29" s="17"/>
      <c r="E29" s="17"/>
      <c r="F29" s="17"/>
      <c r="G29" s="17"/>
      <c r="H29" s="17"/>
      <c r="I29" s="59"/>
      <c r="J29" s="17"/>
      <c r="K29" s="17"/>
      <c r="L29" s="72"/>
      <c r="M29" s="72"/>
      <c r="N29" s="81"/>
      <c r="O29" s="81"/>
      <c r="P29" s="81"/>
      <c r="Q29" s="81"/>
      <c r="R29" s="81"/>
      <c r="S29" s="60"/>
      <c r="T29" s="81"/>
      <c r="U29" s="81"/>
      <c r="V29" s="81"/>
      <c r="W29" s="77"/>
      <c r="X29" s="77"/>
      <c r="Y29" s="54"/>
      <c r="Z29" s="77"/>
      <c r="AA29" s="77"/>
      <c r="AB29" s="77"/>
      <c r="AC29" s="77"/>
      <c r="AD29" s="151"/>
      <c r="AE29" s="77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9"/>
      <c r="AS29" s="69"/>
      <c r="AT29" s="69"/>
      <c r="AU29" s="69"/>
      <c r="AV29" s="69"/>
      <c r="AW29" s="69"/>
      <c r="AX29" s="53"/>
      <c r="AY29" s="22"/>
      <c r="AZ29" s="22"/>
      <c r="BA29" s="22"/>
      <c r="BB29" s="22"/>
      <c r="BC29" s="22"/>
      <c r="BD29" s="22"/>
      <c r="BE29" s="22"/>
      <c r="BF29" s="77"/>
      <c r="BG29" s="77"/>
      <c r="BH29" s="77"/>
      <c r="BI29" s="77"/>
      <c r="BJ29" s="77"/>
      <c r="BK29" s="141"/>
      <c r="BL29" s="118"/>
      <c r="BM29" s="118"/>
      <c r="BN29" s="118"/>
      <c r="BO29" s="118"/>
      <c r="BP29" s="118"/>
      <c r="BQ29" s="118"/>
      <c r="BR29" s="61"/>
      <c r="BS29" s="62"/>
    </row>
    <row r="30" ht="30.0" customHeight="1">
      <c r="A30" s="48">
        <f t="shared" si="12"/>
        <v>23</v>
      </c>
      <c r="B30" s="153"/>
      <c r="C30" s="154"/>
      <c r="D30" s="153"/>
      <c r="E30" s="153"/>
      <c r="F30" s="153"/>
      <c r="G30" s="153"/>
      <c r="H30" s="153"/>
      <c r="I30" s="155"/>
      <c r="J30" s="153"/>
      <c r="K30" s="153"/>
      <c r="L30" s="156"/>
      <c r="M30" s="156"/>
      <c r="N30" s="156"/>
      <c r="O30" s="156"/>
      <c r="P30" s="156"/>
      <c r="Q30" s="157"/>
      <c r="R30" s="156"/>
      <c r="S30" s="158"/>
      <c r="T30" s="156"/>
      <c r="U30" s="156"/>
      <c r="V30" s="156"/>
      <c r="W30" s="159"/>
      <c r="X30" s="159"/>
      <c r="Y30" s="159"/>
      <c r="Z30" s="159"/>
      <c r="AA30" s="159"/>
      <c r="AB30" s="159"/>
      <c r="AC30" s="159"/>
      <c r="AD30" s="160"/>
      <c r="AE30" s="159"/>
      <c r="AF30" s="161"/>
      <c r="AG30" s="161"/>
      <c r="AH30" s="161"/>
      <c r="AI30" s="162"/>
      <c r="AJ30" s="161"/>
      <c r="AK30" s="161"/>
      <c r="AL30" s="161"/>
      <c r="AM30" s="161"/>
      <c r="AN30" s="161"/>
      <c r="AO30" s="161"/>
      <c r="AP30" s="161"/>
      <c r="AQ30" s="161"/>
      <c r="AR30" s="163"/>
      <c r="AS30" s="163"/>
      <c r="AT30" s="163"/>
      <c r="AU30" s="69"/>
      <c r="AV30" s="163"/>
      <c r="AW30" s="153"/>
      <c r="AX30" s="164"/>
      <c r="AY30" s="164"/>
      <c r="AZ30" s="164"/>
      <c r="BA30" s="164"/>
      <c r="BB30" s="165"/>
      <c r="BC30" s="165"/>
      <c r="BD30" s="165"/>
      <c r="BE30" s="164"/>
      <c r="BF30" s="166"/>
      <c r="BG30" s="166"/>
      <c r="BH30" s="166"/>
      <c r="BI30" s="166"/>
      <c r="BJ30" s="166"/>
      <c r="BK30" s="167"/>
      <c r="BL30" s="168"/>
      <c r="BM30" s="168"/>
      <c r="BN30" s="168"/>
      <c r="BO30" s="168"/>
      <c r="BP30" s="168"/>
      <c r="BQ30" s="168"/>
      <c r="BR30" s="168"/>
      <c r="BS30" s="169"/>
    </row>
    <row r="31">
      <c r="A31" s="48">
        <f t="shared" si="12"/>
        <v>24</v>
      </c>
      <c r="B31" s="2"/>
      <c r="C31" s="170"/>
      <c r="D31" s="170"/>
      <c r="E31" s="170"/>
      <c r="F31" s="170"/>
      <c r="G31" s="170"/>
      <c r="H31" s="170"/>
      <c r="I31" s="2"/>
      <c r="J31" s="170"/>
      <c r="K31" s="170"/>
      <c r="L31" s="171"/>
      <c r="M31" s="171"/>
      <c r="N31" s="171"/>
      <c r="O31" s="171"/>
      <c r="P31" s="172"/>
      <c r="Q31" s="171"/>
      <c r="R31" s="171"/>
      <c r="S31" s="171"/>
      <c r="T31" s="171"/>
      <c r="U31" s="172"/>
      <c r="V31" s="172"/>
      <c r="W31" s="166"/>
      <c r="X31" s="166"/>
      <c r="Y31" s="166"/>
      <c r="Z31" s="173"/>
      <c r="AA31" s="166"/>
      <c r="AB31" s="173"/>
      <c r="AC31" s="10"/>
      <c r="AD31" s="10"/>
      <c r="AE31" s="10"/>
      <c r="AF31" s="174"/>
      <c r="AG31" s="175"/>
      <c r="AH31" s="176"/>
      <c r="AI31" s="161"/>
      <c r="AJ31" s="176"/>
      <c r="AK31" s="174"/>
      <c r="AL31" s="161"/>
      <c r="AM31" s="176"/>
      <c r="AN31" s="177"/>
      <c r="AO31" s="174"/>
      <c r="AP31" s="174"/>
      <c r="AQ31" s="174"/>
      <c r="AR31" s="178"/>
      <c r="AS31" s="178"/>
      <c r="AT31" s="178"/>
      <c r="AU31" s="69"/>
      <c r="AV31" s="178"/>
      <c r="AW31" s="2"/>
      <c r="AX31" s="6"/>
      <c r="AY31" s="6"/>
      <c r="AZ31" s="6"/>
      <c r="BA31" s="6"/>
      <c r="BB31" s="6"/>
      <c r="BC31" s="164"/>
      <c r="BD31" s="164"/>
      <c r="BE31" s="6"/>
      <c r="BF31" s="179"/>
      <c r="BG31" s="179"/>
      <c r="BH31" s="179"/>
      <c r="BI31" s="179"/>
      <c r="BJ31" s="179"/>
      <c r="BK31" s="108"/>
      <c r="BL31" s="180"/>
      <c r="BM31" s="180"/>
      <c r="BN31" s="180"/>
      <c r="BO31" s="180"/>
      <c r="BP31" s="180"/>
      <c r="BQ31" s="180"/>
      <c r="BR31" s="180"/>
      <c r="BS31" s="181"/>
    </row>
    <row r="32">
      <c r="A32" s="48">
        <f t="shared" si="12"/>
        <v>25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0"/>
      <c r="X32" s="10"/>
      <c r="Y32" s="10"/>
      <c r="Z32" s="10"/>
      <c r="AA32" s="10"/>
      <c r="AB32" s="10"/>
      <c r="AC32" s="10"/>
      <c r="AD32" s="10"/>
      <c r="AE32" s="10"/>
      <c r="AF32" s="174"/>
      <c r="AG32" s="174"/>
      <c r="AH32" s="174"/>
      <c r="AI32" s="174"/>
      <c r="AJ32" s="174"/>
      <c r="AK32" s="174"/>
      <c r="AL32" s="174"/>
      <c r="AM32" s="174"/>
      <c r="AN32" s="174"/>
      <c r="AO32" s="174"/>
      <c r="AP32" s="174"/>
      <c r="AQ32" s="174"/>
      <c r="AR32" s="178"/>
      <c r="AS32" s="178"/>
      <c r="AT32" s="178"/>
      <c r="AU32" s="69"/>
      <c r="AV32" s="178"/>
      <c r="AW32" s="2"/>
      <c r="AX32" s="6"/>
      <c r="AY32" s="6"/>
      <c r="AZ32" s="6"/>
      <c r="BA32" s="6"/>
      <c r="BB32" s="6"/>
      <c r="BC32" s="165"/>
      <c r="BD32" s="165"/>
      <c r="BE32" s="6"/>
      <c r="BF32" s="179"/>
      <c r="BG32" s="179"/>
      <c r="BH32" s="179"/>
      <c r="BI32" s="179"/>
      <c r="BJ32" s="179"/>
      <c r="BK32" s="182"/>
      <c r="BL32" s="180"/>
      <c r="BM32" s="180"/>
      <c r="BN32" s="180"/>
      <c r="BO32" s="180"/>
      <c r="BP32" s="180"/>
      <c r="BQ32" s="180"/>
      <c r="BR32" s="180"/>
      <c r="BS32" s="181"/>
    </row>
    <row r="33">
      <c r="A33" s="48">
        <f t="shared" si="12"/>
        <v>26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10"/>
      <c r="X33" s="10"/>
      <c r="Y33" s="10"/>
      <c r="Z33" s="10"/>
      <c r="AA33" s="10"/>
      <c r="AB33" s="10"/>
      <c r="AC33" s="10"/>
      <c r="AD33" s="10"/>
      <c r="AE33" s="10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2"/>
      <c r="AS33" s="2"/>
      <c r="AT33" s="2"/>
      <c r="AU33" s="69"/>
      <c r="AV33" s="2"/>
      <c r="AW33" s="2"/>
      <c r="AX33" s="6"/>
      <c r="AY33" s="6"/>
      <c r="AZ33" s="6"/>
      <c r="BA33" s="6"/>
      <c r="BB33" s="6"/>
      <c r="BC33" s="165"/>
      <c r="BD33" s="165"/>
      <c r="BE33" s="6"/>
      <c r="BF33" s="10"/>
      <c r="BG33" s="10"/>
      <c r="BH33" s="10"/>
      <c r="BI33" s="10"/>
      <c r="BJ33" s="10"/>
      <c r="BK33" s="182"/>
      <c r="BL33" s="180"/>
      <c r="BM33" s="180"/>
      <c r="BN33" s="180"/>
      <c r="BO33" s="180"/>
      <c r="BP33" s="180"/>
      <c r="BQ33" s="180"/>
      <c r="BR33" s="180"/>
      <c r="BS33" s="181"/>
    </row>
    <row r="34">
      <c r="A34" s="183">
        <v>27.0</v>
      </c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59"/>
      <c r="X34" s="159"/>
      <c r="Y34" s="159"/>
      <c r="Z34" s="159"/>
      <c r="AA34" s="159"/>
      <c r="AB34" s="159"/>
      <c r="AC34" s="159"/>
      <c r="AD34" s="159"/>
      <c r="AE34" s="159"/>
      <c r="AF34" s="185"/>
      <c r="AG34" s="185"/>
      <c r="AH34" s="185"/>
      <c r="AI34" s="185"/>
      <c r="AJ34" s="185"/>
      <c r="AK34" s="185"/>
      <c r="AL34" s="185"/>
      <c r="AM34" s="185"/>
      <c r="AN34" s="185"/>
      <c r="AO34" s="185"/>
      <c r="AP34" s="185"/>
      <c r="AQ34" s="185"/>
      <c r="AR34" s="153"/>
      <c r="AS34" s="153"/>
      <c r="AT34" s="153"/>
      <c r="AU34" s="76"/>
      <c r="AV34" s="153"/>
      <c r="AW34" s="153"/>
      <c r="AX34" s="164"/>
      <c r="AY34" s="164"/>
      <c r="AZ34" s="164"/>
      <c r="BA34" s="164"/>
      <c r="BB34" s="164"/>
      <c r="BC34" s="164"/>
      <c r="BD34" s="164"/>
      <c r="BE34" s="164"/>
      <c r="BF34" s="159"/>
      <c r="BG34" s="159"/>
      <c r="BH34" s="159"/>
      <c r="BI34" s="159"/>
      <c r="BJ34" s="159"/>
      <c r="BK34" s="167"/>
      <c r="BL34" s="186"/>
      <c r="BM34" s="186"/>
      <c r="BN34" s="186"/>
      <c r="BO34" s="186"/>
      <c r="BP34" s="186"/>
      <c r="BQ34" s="186"/>
      <c r="BR34" s="186"/>
      <c r="BS34" s="187"/>
    </row>
    <row r="35">
      <c r="A35" s="183"/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59"/>
      <c r="X35" s="159"/>
      <c r="Y35" s="159"/>
      <c r="Z35" s="159"/>
      <c r="AA35" s="159"/>
      <c r="AB35" s="159"/>
      <c r="AC35" s="159"/>
      <c r="AD35" s="159"/>
      <c r="AE35" s="159"/>
      <c r="AF35" s="185"/>
      <c r="AG35" s="185"/>
      <c r="AH35" s="185"/>
      <c r="AI35" s="185"/>
      <c r="AJ35" s="185"/>
      <c r="AK35" s="185"/>
      <c r="AL35" s="185"/>
      <c r="AM35" s="185"/>
      <c r="AN35" s="185"/>
      <c r="AO35" s="185"/>
      <c r="AP35" s="185"/>
      <c r="AQ35" s="185"/>
      <c r="AR35" s="153"/>
      <c r="AS35" s="153"/>
      <c r="AT35" s="153"/>
      <c r="AU35" s="188"/>
      <c r="AV35" s="153"/>
      <c r="AW35" s="153"/>
      <c r="AX35" s="164"/>
      <c r="AY35" s="164"/>
      <c r="AZ35" s="164"/>
      <c r="BA35" s="164"/>
      <c r="BB35" s="164"/>
      <c r="BC35" s="164"/>
      <c r="BD35" s="164"/>
      <c r="BE35" s="164"/>
      <c r="BF35" s="159"/>
      <c r="BG35" s="159"/>
      <c r="BH35" s="159"/>
      <c r="BI35" s="159"/>
      <c r="BJ35" s="159"/>
      <c r="BK35" s="108"/>
      <c r="BL35" s="186"/>
      <c r="BM35" s="186"/>
      <c r="BN35" s="186"/>
      <c r="BO35" s="186"/>
      <c r="BP35" s="186"/>
      <c r="BQ35" s="186"/>
      <c r="BR35" s="186"/>
      <c r="BS35" s="187"/>
    </row>
    <row r="36">
      <c r="A36" s="183"/>
      <c r="B36" s="184"/>
      <c r="C36" s="184"/>
      <c r="D36" s="184"/>
      <c r="E36" s="184"/>
      <c r="F36" s="184"/>
      <c r="G36" s="184"/>
      <c r="H36" s="184"/>
      <c r="I36" s="184"/>
      <c r="J36" s="184"/>
      <c r="K36" s="18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59"/>
      <c r="X36" s="159"/>
      <c r="Y36" s="159"/>
      <c r="Z36" s="159"/>
      <c r="AA36" s="159"/>
      <c r="AB36" s="159"/>
      <c r="AC36" s="159"/>
      <c r="AD36" s="159"/>
      <c r="AE36" s="159"/>
      <c r="AF36" s="185"/>
      <c r="AG36" s="185"/>
      <c r="AH36" s="185"/>
      <c r="AI36" s="185"/>
      <c r="AJ36" s="185"/>
      <c r="AK36" s="185"/>
      <c r="AL36" s="185"/>
      <c r="AM36" s="185"/>
      <c r="AN36" s="185"/>
      <c r="AO36" s="185"/>
      <c r="AP36" s="185"/>
      <c r="AQ36" s="185"/>
      <c r="AR36" s="153"/>
      <c r="AS36" s="153"/>
      <c r="AT36" s="153"/>
      <c r="AU36" s="188"/>
      <c r="AV36" s="153"/>
      <c r="AW36" s="153"/>
      <c r="AX36" s="164"/>
      <c r="AY36" s="164"/>
      <c r="AZ36" s="164"/>
      <c r="BA36" s="164"/>
      <c r="BB36" s="164"/>
      <c r="BC36" s="164"/>
      <c r="BD36" s="164"/>
      <c r="BE36" s="164"/>
      <c r="BF36" s="159"/>
      <c r="BG36" s="159"/>
      <c r="BH36" s="159"/>
      <c r="BI36" s="159"/>
      <c r="BJ36" s="159"/>
      <c r="BK36" s="182"/>
      <c r="BL36" s="186"/>
      <c r="BM36" s="186"/>
      <c r="BN36" s="186"/>
      <c r="BO36" s="186"/>
      <c r="BP36" s="186"/>
      <c r="BQ36" s="186"/>
      <c r="BR36" s="186"/>
      <c r="BS36" s="187"/>
    </row>
    <row r="37">
      <c r="A37" s="183"/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59"/>
      <c r="X37" s="159"/>
      <c r="Y37" s="159"/>
      <c r="Z37" s="159"/>
      <c r="AA37" s="159"/>
      <c r="AB37" s="159"/>
      <c r="AC37" s="159"/>
      <c r="AD37" s="159"/>
      <c r="AE37" s="159"/>
      <c r="AF37" s="185"/>
      <c r="AG37" s="185"/>
      <c r="AH37" s="185"/>
      <c r="AI37" s="185"/>
      <c r="AJ37" s="185"/>
      <c r="AK37" s="185"/>
      <c r="AL37" s="185"/>
      <c r="AM37" s="185"/>
      <c r="AN37" s="185"/>
      <c r="AO37" s="185"/>
      <c r="AP37" s="185"/>
      <c r="AQ37" s="185"/>
      <c r="AR37" s="153"/>
      <c r="AS37" s="153"/>
      <c r="AT37" s="153"/>
      <c r="AU37" s="188"/>
      <c r="AV37" s="153"/>
      <c r="AW37" s="153"/>
      <c r="AX37" s="164"/>
      <c r="AY37" s="164"/>
      <c r="AZ37" s="164"/>
      <c r="BA37" s="164"/>
      <c r="BB37" s="164"/>
      <c r="BC37" s="164"/>
      <c r="BD37" s="164"/>
      <c r="BE37" s="164"/>
      <c r="BF37" s="159"/>
      <c r="BG37" s="159"/>
      <c r="BH37" s="159"/>
      <c r="BI37" s="159"/>
      <c r="BJ37" s="159"/>
      <c r="BK37" s="182"/>
      <c r="BL37" s="186"/>
      <c r="BM37" s="186"/>
      <c r="BN37" s="186"/>
      <c r="BO37" s="186"/>
      <c r="BP37" s="186"/>
      <c r="BQ37" s="186"/>
      <c r="BR37" s="186"/>
      <c r="BS37" s="187"/>
    </row>
    <row r="38">
      <c r="A38" s="189"/>
    </row>
    <row r="39">
      <c r="A39" s="189"/>
    </row>
    <row r="40">
      <c r="A40" s="189"/>
    </row>
    <row r="41">
      <c r="A41" s="189"/>
    </row>
  </sheetData>
  <mergeCells count="75">
    <mergeCell ref="S5:T5"/>
    <mergeCell ref="W5:X5"/>
    <mergeCell ref="Y5:Z5"/>
    <mergeCell ref="AA5:AB5"/>
    <mergeCell ref="AG5:AH5"/>
    <mergeCell ref="AI5:AJ5"/>
    <mergeCell ref="AL5:AM5"/>
    <mergeCell ref="AN5:AO5"/>
    <mergeCell ref="C5:D5"/>
    <mergeCell ref="E5:F5"/>
    <mergeCell ref="G5:H5"/>
    <mergeCell ref="J5:K5"/>
    <mergeCell ref="L5:M5"/>
    <mergeCell ref="N5:O5"/>
    <mergeCell ref="Q5:R5"/>
    <mergeCell ref="S1:T1"/>
    <mergeCell ref="W1:X1"/>
    <mergeCell ref="Y1:Z1"/>
    <mergeCell ref="AA1:AB1"/>
    <mergeCell ref="AG1:AH1"/>
    <mergeCell ref="AI1:AJ1"/>
    <mergeCell ref="AL1:AM1"/>
    <mergeCell ref="AN1:AO1"/>
    <mergeCell ref="C1:D1"/>
    <mergeCell ref="E1:F1"/>
    <mergeCell ref="G1:H1"/>
    <mergeCell ref="J1:K1"/>
    <mergeCell ref="L1:M1"/>
    <mergeCell ref="N1:O1"/>
    <mergeCell ref="Q1:R1"/>
    <mergeCell ref="S2:T2"/>
    <mergeCell ref="W2:X2"/>
    <mergeCell ref="Y2:Z2"/>
    <mergeCell ref="AA2:AB2"/>
    <mergeCell ref="AG2:AH2"/>
    <mergeCell ref="AI2:AJ2"/>
    <mergeCell ref="AL2:AM2"/>
    <mergeCell ref="AN2:AO2"/>
    <mergeCell ref="C2:D2"/>
    <mergeCell ref="E2:F2"/>
    <mergeCell ref="G2:H2"/>
    <mergeCell ref="J2:K2"/>
    <mergeCell ref="L2:M2"/>
    <mergeCell ref="N2:O2"/>
    <mergeCell ref="Q2:R2"/>
    <mergeCell ref="S4:T4"/>
    <mergeCell ref="W4:X4"/>
    <mergeCell ref="Y4:Z4"/>
    <mergeCell ref="AA4:AB4"/>
    <mergeCell ref="AG4:AH4"/>
    <mergeCell ref="AI4:AJ4"/>
    <mergeCell ref="AL4:AM4"/>
    <mergeCell ref="AN4:AO4"/>
    <mergeCell ref="C4:D4"/>
    <mergeCell ref="E4:F4"/>
    <mergeCell ref="G4:H4"/>
    <mergeCell ref="J4:K4"/>
    <mergeCell ref="L4:M4"/>
    <mergeCell ref="N4:O4"/>
    <mergeCell ref="Q4:R4"/>
    <mergeCell ref="S7:T7"/>
    <mergeCell ref="W7:X7"/>
    <mergeCell ref="Y7:Z7"/>
    <mergeCell ref="AA7:AB7"/>
    <mergeCell ref="AG7:AH7"/>
    <mergeCell ref="AI7:AJ7"/>
    <mergeCell ref="AL7:AM7"/>
    <mergeCell ref="AN7:AO7"/>
    <mergeCell ref="C7:D7"/>
    <mergeCell ref="E7:F7"/>
    <mergeCell ref="G7:H7"/>
    <mergeCell ref="J7:K7"/>
    <mergeCell ref="L7:M7"/>
    <mergeCell ref="N7:O7"/>
    <mergeCell ref="Q7:R7"/>
  </mergeCells>
  <conditionalFormatting sqref="B7:BR7">
    <cfRule type="cellIs" dxfId="0" priority="1" operator="greaterThan">
      <formula>18</formula>
    </cfRule>
  </conditionalFormatting>
  <drawing r:id="rId1"/>
</worksheet>
</file>