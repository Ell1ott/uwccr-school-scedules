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B 1 Class Lists.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2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1" fillId="3" fontId="2" numFmtId="0" xfId="0" applyAlignment="1" applyBorder="1" applyFill="1" applyFont="1">
      <alignment horizontal="center" shrinkToFit="0" vertical="bottom" wrapText="1"/>
    </xf>
    <xf borderId="2" fillId="3" fontId="2" numFmtId="0" xfId="0" applyAlignment="1" applyBorder="1" applyFill="1" applyFont="1">
      <alignment horizontal="center" shrinkToFit="0" vertical="bottom" wrapText="1"/>
    </xf>
    <xf borderId="3" fillId="0" fontId="3" numFmtId="0" xfId="0" applyBorder="1" applyFont="1"/>
    <xf borderId="2" fillId="4" fontId="2" numFmtId="0" xfId="0" applyAlignment="1" applyBorder="1" applyFill="1" applyFont="1">
      <alignment horizontal="center" shrinkToFit="0" vertical="bottom" wrapText="1"/>
    </xf>
    <xf borderId="1" fillId="4" fontId="2" numFmtId="0" xfId="0" applyAlignment="1" applyBorder="1" applyFill="1" applyFont="1">
      <alignment horizontal="center" shrinkToFit="0" vertical="bottom" wrapText="1"/>
    </xf>
    <xf borderId="2" fillId="5" fontId="2" numFmtId="0" xfId="0" applyAlignment="1" applyBorder="1" applyFill="1" applyFont="1">
      <alignment horizontal="center" shrinkToFit="0" vertical="bottom" wrapText="1"/>
    </xf>
    <xf borderId="1" fillId="5" fontId="2" numFmtId="0" xfId="0" applyAlignment="1" applyBorder="1" applyFill="1" applyFont="1">
      <alignment horizontal="center" shrinkToFit="0" vertical="bottom" wrapText="1"/>
    </xf>
    <xf borderId="1" fillId="6" fontId="2" numFmtId="0" xfId="0" applyAlignment="1" applyBorder="1" applyFill="1" applyFont="1">
      <alignment horizontal="center" shrinkToFit="0" vertical="bottom" wrapText="1"/>
    </xf>
    <xf borderId="2" fillId="6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2" fillId="7" fontId="2" numFmtId="0" xfId="0" applyAlignment="1" applyBorder="1" applyFill="1" applyFont="1">
      <alignment horizontal="center" shrinkToFit="0" wrapText="1"/>
    </xf>
    <xf borderId="2" fillId="4" fontId="2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center" shrinkToFit="0" wrapText="1"/>
    </xf>
    <xf borderId="2" fillId="5" fontId="2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center" shrinkToFit="0" wrapText="1"/>
    </xf>
    <xf borderId="4" fillId="5" fontId="2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center" shrinkToFit="0" wrapText="1"/>
    </xf>
    <xf borderId="2" fillId="6" fontId="2" numFmtId="0" xfId="0" applyAlignment="1" applyBorder="1" applyFill="1" applyFont="1">
      <alignment horizontal="center" shrinkToFit="0" wrapText="1"/>
    </xf>
    <xf borderId="1" fillId="7" fontId="2" numFmtId="0" xfId="0" applyAlignment="1" applyBorder="1" applyFill="1" applyFont="1">
      <alignment horizontal="center" shrinkToFit="0" wrapText="1"/>
    </xf>
    <xf borderId="4" fillId="5" fontId="2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2" fillId="8" fontId="2" numFmtId="0" xfId="0" applyAlignment="1" applyBorder="1" applyFill="1" applyFont="1">
      <alignment horizontal="center" shrinkToFit="0" vertical="bottom" wrapText="1"/>
    </xf>
    <xf borderId="1" fillId="8" fontId="2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4" fillId="3" fontId="4" numFmtId="0" xfId="0" applyAlignment="1" applyBorder="1" applyFill="1" applyFont="1">
      <alignment horizontal="center" shrinkToFit="0" wrapText="1"/>
    </xf>
    <xf borderId="3" fillId="3" fontId="4" numFmtId="0" xfId="0" applyAlignment="1" applyBorder="1" applyFill="1" applyFont="1">
      <alignment horizontal="center" shrinkToFit="0" wrapText="1"/>
    </xf>
    <xf borderId="1" fillId="3" fontId="1" numFmtId="0" xfId="0" applyBorder="1" applyFill="1" applyFont="1"/>
    <xf borderId="1" fillId="3" fontId="4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vertical="bottom"/>
    </xf>
    <xf borderId="0" fillId="3" fontId="1" numFmtId="0" xfId="0" applyAlignment="1" applyFill="1" applyFont="1">
      <alignment vertical="bottom"/>
    </xf>
    <xf borderId="1" fillId="4" fontId="4" numFmtId="0" xfId="0" applyAlignment="1" applyBorder="1" applyFill="1" applyFont="1">
      <alignment horizontal="center" shrinkToFit="0" wrapText="1"/>
    </xf>
    <xf borderId="1" fillId="4" fontId="1" numFmtId="0" xfId="0" applyBorder="1" applyFill="1" applyFont="1"/>
    <xf borderId="1" fillId="5" fontId="4" numFmtId="0" xfId="0" applyAlignment="1" applyBorder="1" applyFill="1" applyFont="1">
      <alignment horizontal="center" shrinkToFit="0" wrapText="1"/>
    </xf>
    <xf borderId="5" fillId="5" fontId="4" numFmtId="0" xfId="0" applyAlignment="1" applyBorder="1" applyFill="1" applyFont="1">
      <alignment horizontal="center" shrinkToFit="0" wrapText="1"/>
    </xf>
    <xf borderId="1" fillId="6" fontId="4" numFmtId="0" xfId="0" applyAlignment="1" applyBorder="1" applyFill="1" applyFont="1">
      <alignment horizontal="center" shrinkToFit="0" wrapText="1"/>
    </xf>
    <xf borderId="1" fillId="6" fontId="1" numFmtId="0" xfId="0" applyBorder="1" applyFill="1" applyFont="1"/>
    <xf borderId="0" fillId="4" fontId="4" numFmtId="0" xfId="0" applyAlignment="1" applyFill="1" applyFont="1">
      <alignment horizontal="center" shrinkToFit="0" wrapText="1"/>
    </xf>
    <xf borderId="6" fillId="3" fontId="4" numFmtId="0" xfId="0" applyAlignment="1" applyBorder="1" applyFill="1" applyFont="1">
      <alignment horizontal="center" shrinkToFit="0" wrapText="1"/>
    </xf>
    <xf borderId="0" fillId="3" fontId="4" numFmtId="0" xfId="0" applyAlignment="1" applyFill="1" applyFont="1">
      <alignment horizontal="center" shrinkToFit="0" wrapText="1"/>
    </xf>
    <xf borderId="0" fillId="5" fontId="4" numFmtId="0" xfId="0" applyAlignment="1" applyFill="1" applyFont="1">
      <alignment horizontal="center"/>
    </xf>
    <xf borderId="7" fillId="6" fontId="4" numFmtId="0" xfId="0" applyAlignment="1" applyBorder="1" applyFill="1" applyFont="1">
      <alignment horizontal="center" shrinkToFit="0" wrapText="1"/>
    </xf>
    <xf borderId="0" fillId="3" fontId="1" numFmtId="0" xfId="0" applyFill="1" applyFont="1"/>
    <xf borderId="7" fillId="4" fontId="4" numFmtId="0" xfId="0" applyAlignment="1" applyBorder="1" applyFill="1" applyFont="1">
      <alignment horizontal="center" shrinkToFit="0" wrapText="1"/>
    </xf>
    <xf borderId="7" fillId="4" fontId="1" numFmtId="0" xfId="0" applyBorder="1" applyFill="1" applyFont="1"/>
    <xf borderId="1" fillId="5" fontId="1" numFmtId="0" xfId="0" applyBorder="1" applyFill="1" applyFont="1"/>
    <xf borderId="0" fillId="5" fontId="1" numFmtId="0" xfId="0" applyAlignment="1" applyFill="1" applyFont="1">
      <alignment vertical="bottom"/>
    </xf>
    <xf borderId="0" fillId="5" fontId="1" numFmtId="0" xfId="0" applyFill="1" applyFont="1"/>
    <xf borderId="5" fillId="3" fontId="4" numFmtId="0" xfId="0" applyAlignment="1" applyBorder="1" applyFill="1" applyFont="1">
      <alignment horizontal="center"/>
    </xf>
    <xf borderId="6" fillId="5" fontId="4" numFmtId="0" xfId="0" applyAlignment="1" applyBorder="1" applyFill="1" applyFont="1">
      <alignment horizontal="center" shrinkToFit="0" wrapText="1"/>
    </xf>
    <xf borderId="5" fillId="6" fontId="1" numFmtId="0" xfId="0" applyAlignment="1" applyBorder="1" applyFill="1" applyFont="1">
      <alignment vertical="bottom"/>
    </xf>
    <xf borderId="7" fillId="5" fontId="4" numFmtId="0" xfId="0" applyAlignment="1" applyBorder="1" applyFill="1" applyFont="1">
      <alignment horizontal="center" shrinkToFit="0" wrapText="1"/>
    </xf>
    <xf borderId="0" fillId="6" fontId="1" numFmtId="0" xfId="0" applyFill="1" applyFont="1"/>
    <xf borderId="5" fillId="3" fontId="4" numFmtId="0" xfId="0" applyAlignment="1" applyBorder="1" applyFill="1" applyFont="1">
      <alignment horizontal="center" shrinkToFit="0" wrapText="1"/>
    </xf>
    <xf borderId="0" fillId="6" fontId="1" numFmtId="0" xfId="0" applyAlignment="1" applyFill="1" applyFont="1">
      <alignment vertical="bottom"/>
    </xf>
    <xf borderId="6" fillId="6" fontId="4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wrapText="1"/>
    </xf>
    <xf borderId="8" fillId="3" fontId="4" numFmtId="0" xfId="0" applyAlignment="1" applyBorder="1" applyFill="1" applyFont="1">
      <alignment horizontal="center" shrinkToFit="0" wrapText="1"/>
    </xf>
    <xf borderId="5" fillId="6" fontId="4" numFmtId="0" xfId="0" applyAlignment="1" applyBorder="1" applyFill="1" applyFont="1">
      <alignment horizontal="center" shrinkToFit="0" wrapText="1"/>
    </xf>
    <xf borderId="5" fillId="4" fontId="1" numFmtId="0" xfId="0" applyAlignment="1" applyBorder="1" applyFill="1" applyFont="1">
      <alignment vertical="bottom"/>
    </xf>
    <xf borderId="7" fillId="6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shrinkToFit="0" wrapText="1"/>
    </xf>
    <xf borderId="0" fillId="5" fontId="4" numFmtId="0" xfId="0" applyAlignment="1" applyFill="1" applyFont="1">
      <alignment horizontal="center" shrinkToFit="0" wrapText="1"/>
    </xf>
    <xf borderId="0" fillId="6" fontId="4" numFmtId="0" xfId="0" applyAlignment="1" applyFill="1" applyFont="1">
      <alignment horizontal="center"/>
    </xf>
    <xf borderId="5" fillId="6" fontId="1" numFmtId="0" xfId="0" applyBorder="1" applyFill="1" applyFont="1"/>
    <xf borderId="6" fillId="3" fontId="1" numFmtId="0" xfId="0" applyAlignment="1" applyBorder="1" applyFill="1" applyFont="1">
      <alignment vertical="bottom"/>
    </xf>
    <xf borderId="0" fillId="4" fontId="1" numFmtId="0" xfId="0" applyAlignment="1" applyFill="1" applyFont="1">
      <alignment vertical="bottom"/>
    </xf>
    <xf borderId="6" fillId="4" fontId="4" numFmtId="0" xfId="0" applyAlignment="1" applyBorder="1" applyFill="1" applyFont="1">
      <alignment horizontal="center" shrinkToFit="0" wrapText="1"/>
    </xf>
    <xf borderId="0" fillId="4" fontId="1" numFmtId="0" xfId="0" applyFill="1" applyFont="1"/>
    <xf borderId="0" fillId="4" fontId="4" numFmtId="0" xfId="0" applyAlignment="1" applyFill="1" applyFont="1">
      <alignment horizontal="center"/>
    </xf>
    <xf borderId="7" fillId="6" fontId="1" numFmtId="0" xfId="0" applyBorder="1" applyFill="1" applyFont="1"/>
    <xf borderId="4" fillId="4" fontId="1" numFmtId="0" xfId="0" applyBorder="1" applyFill="1" applyFont="1"/>
    <xf borderId="5" fillId="4" fontId="1" numFmtId="0" xfId="0" applyBorder="1" applyFill="1" applyFont="1"/>
    <xf borderId="6" fillId="5" fontId="4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vertical="bottom"/>
    </xf>
    <xf borderId="4" fillId="6" fontId="4" numFmtId="0" xfId="0" applyAlignment="1" applyBorder="1" applyFill="1" applyFont="1">
      <alignment horizontal="center" shrinkToFit="0" wrapText="1"/>
    </xf>
    <xf borderId="10" fillId="4" fontId="1" numFmtId="0" xfId="0" applyAlignment="1" applyBorder="1" applyFill="1" applyFont="1">
      <alignment vertical="bottom"/>
    </xf>
    <xf borderId="6" fillId="5" fontId="1" numFmtId="0" xfId="0" applyAlignment="1" applyBorder="1" applyFill="1" applyFont="1">
      <alignment vertical="bottom"/>
    </xf>
    <xf borderId="5" fillId="5" fontId="1" numFmtId="0" xfId="0" applyAlignment="1" applyBorder="1" applyFill="1" applyFont="1">
      <alignment vertical="bottom"/>
    </xf>
    <xf borderId="5" fillId="6" fontId="4" numFmtId="0" xfId="0" applyAlignment="1" applyBorder="1" applyFill="1" applyFont="1">
      <alignment horizontal="center"/>
    </xf>
    <xf borderId="0" fillId="6" fontId="4" numFmtId="0" xfId="0" applyAlignment="1" applyFill="1" applyFont="1">
      <alignment horizontal="center" shrinkToFit="0" wrapText="1"/>
    </xf>
    <xf borderId="0" fillId="6" fontId="4" numFmtId="0" xfId="0" applyAlignment="1" applyFill="1" applyFont="1">
      <alignment shrinkToFit="0" vertical="bottom" wrapText="1"/>
    </xf>
    <xf borderId="3" fillId="6" fontId="1" numFmtId="0" xfId="0" applyBorder="1" applyFill="1" applyFont="1"/>
    <xf borderId="11" fillId="4" fontId="4" numFmtId="0" xfId="0" applyAlignment="1" applyBorder="1" applyFill="1" applyFont="1">
      <alignment horizontal="center"/>
    </xf>
    <xf borderId="6" fillId="5" fontId="1" numFmtId="0" xfId="0" applyBorder="1" applyFill="1" applyFont="1"/>
    <xf borderId="5" fillId="5" fontId="1" numFmtId="0" xfId="0" applyBorder="1" applyFill="1" applyFont="1"/>
    <xf borderId="12" fillId="5" fontId="1" numFmtId="0" xfId="0" applyAlignment="1" applyBorder="1" applyFill="1" applyFont="1">
      <alignment vertical="bottom"/>
    </xf>
    <xf borderId="6" fillId="3" fontId="1" numFmtId="0" xfId="0" applyBorder="1" applyFill="1" applyFont="1"/>
    <xf borderId="7" fillId="3" fontId="4" numFmtId="0" xfId="0" applyAlignment="1" applyBorder="1" applyFill="1" applyFont="1">
      <alignment horizontal="center" shrinkToFit="0" wrapText="1"/>
    </xf>
    <xf borderId="7" fillId="5" fontId="1" numFmtId="0" xfId="0" applyBorder="1" applyFill="1" applyFont="1"/>
    <xf borderId="6" fillId="6" fontId="1" numFmtId="0" xfId="0" applyAlignment="1" applyBorder="1" applyFill="1" applyFont="1">
      <alignment vertical="bottom"/>
    </xf>
    <xf borderId="4" fillId="3" fontId="1" numFmtId="0" xfId="0" applyBorder="1" applyFill="1" applyFont="1"/>
    <xf borderId="5" fillId="3" fontId="1" numFmtId="0" xfId="0" applyBorder="1" applyFill="1" applyFont="1"/>
    <xf borderId="7" fillId="6" fontId="1" numFmtId="0" xfId="0" applyAlignment="1" applyBorder="1" applyFill="1" applyFont="1">
      <alignment vertical="bottom"/>
    </xf>
    <xf borderId="11" fillId="4" fontId="1" numFmtId="0" xfId="0" applyBorder="1" applyFill="1" applyFont="1"/>
    <xf borderId="5" fillId="3" fontId="1" numFmtId="0" xfId="0" applyAlignment="1" applyBorder="1" applyFill="1" applyFont="1">
      <alignment vertical="bottom"/>
    </xf>
    <xf borderId="9" fillId="3" fontId="4" numFmtId="0" xfId="0" applyAlignment="1" applyBorder="1" applyFill="1" applyFont="1">
      <alignment horizontal="center" shrinkToFit="0" wrapText="1"/>
    </xf>
    <xf borderId="0" fillId="3" fontId="4" numFmtId="0" xfId="0" applyAlignment="1" applyFill="1" applyFont="1">
      <alignment horizontal="center"/>
    </xf>
    <xf borderId="13" fillId="3" fontId="1" numFmtId="0" xfId="0" applyAlignment="1" applyBorder="1" applyFill="1" applyFont="1">
      <alignment vertical="bottom"/>
    </xf>
    <xf borderId="6" fillId="4" fontId="1" numFmtId="0" xfId="0" applyBorder="1" applyFill="1" applyFont="1"/>
    <xf borderId="3" fillId="5" fontId="1" numFmtId="0" xfId="0" applyBorder="1" applyFill="1" applyFont="1"/>
    <xf borderId="2" fillId="6" fontId="1" numFmtId="0" xfId="0" applyBorder="1" applyFill="1" applyFont="1"/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IFERROR(__xludf.DUMMYFUNCTION("IMPORTRANGE(""https://docs.google.com/spreadsheets/d/1OBdfoQvLuf_Ld9vAgqtWD112JR-INZ9PGEHYlI_L1vI/edit?usp=sharing"", ""IB 2 Class Lists!A1:BS38"")"),"Blocks")</f>
        <v>Blocks</v>
      </c>
      <c r="B1" s="2" t="str">
        <f>IFERROR(__xludf.DUMMYFUNCTION("""COMPUTED_VALUE"""),"A")</f>
        <v>A</v>
      </c>
      <c r="C1" s="3" t="str">
        <f>IFERROR(__xludf.DUMMYFUNCTION("""COMPUTED_VALUE"""),"A")</f>
        <v>A</v>
      </c>
      <c r="D1" s="4"/>
      <c r="E1" s="3" t="str">
        <f>IFERROR(__xludf.DUMMYFUNCTION("""COMPUTED_VALUE"""),"A")</f>
        <v>A</v>
      </c>
      <c r="F1" s="4"/>
      <c r="G1" s="3" t="str">
        <f>IFERROR(__xludf.DUMMYFUNCTION("""COMPUTED_VALUE"""),"A")</f>
        <v>A</v>
      </c>
      <c r="H1" s="4"/>
      <c r="I1" s="2" t="str">
        <f>IFERROR(__xludf.DUMMYFUNCTION("""COMPUTED_VALUE"""),"A")</f>
        <v>A</v>
      </c>
      <c r="J1" s="3" t="str">
        <f>IFERROR(__xludf.DUMMYFUNCTION("""COMPUTED_VALUE"""),"A")</f>
        <v>A</v>
      </c>
      <c r="K1" s="4"/>
      <c r="L1" s="5" t="str">
        <f>IFERROR(__xludf.DUMMYFUNCTION("""COMPUTED_VALUE"""),"B")</f>
        <v>B</v>
      </c>
      <c r="M1" s="4"/>
      <c r="N1" s="5" t="str">
        <f>IFERROR(__xludf.DUMMYFUNCTION("""COMPUTED_VALUE"""),"B")</f>
        <v>B</v>
      </c>
      <c r="O1" s="4"/>
      <c r="P1" s="6" t="str">
        <f>IFERROR(__xludf.DUMMYFUNCTION("""COMPUTED_VALUE"""),"B")</f>
        <v>B</v>
      </c>
      <c r="Q1" s="5" t="str">
        <f>IFERROR(__xludf.DUMMYFUNCTION("""COMPUTED_VALUE"""),"B")</f>
        <v>B</v>
      </c>
      <c r="R1" s="4"/>
      <c r="S1" s="5" t="str">
        <f>IFERROR(__xludf.DUMMYFUNCTION("""COMPUTED_VALUE"""),"B")</f>
        <v>B</v>
      </c>
      <c r="T1" s="4"/>
      <c r="U1" s="6" t="str">
        <f>IFERROR(__xludf.DUMMYFUNCTION("""COMPUTED_VALUE"""),"B")</f>
        <v>B</v>
      </c>
      <c r="V1" s="6" t="str">
        <f>IFERROR(__xludf.DUMMYFUNCTION("""COMPUTED_VALUE"""),"B")</f>
        <v>B</v>
      </c>
      <c r="W1" s="6" t="str">
        <f>IFERROR(__xludf.DUMMYFUNCTION("""COMPUTED_VALUE"""),"B")</f>
        <v>B</v>
      </c>
      <c r="X1" s="7" t="str">
        <f>IFERROR(__xludf.DUMMYFUNCTION("""COMPUTED_VALUE"""),"C")</f>
        <v>C</v>
      </c>
      <c r="Y1" s="4"/>
      <c r="Z1" s="7" t="str">
        <f>IFERROR(__xludf.DUMMYFUNCTION("""COMPUTED_VALUE"""),"C")</f>
        <v>C</v>
      </c>
      <c r="AA1" s="4"/>
      <c r="AB1" s="7" t="str">
        <f>IFERROR(__xludf.DUMMYFUNCTION("""COMPUTED_VALUE"""),"C")</f>
        <v>C</v>
      </c>
      <c r="AC1" s="4"/>
      <c r="AD1" s="8" t="str">
        <f>IFERROR(__xludf.DUMMYFUNCTION("""COMPUTED_VALUE"""),"C")</f>
        <v>C</v>
      </c>
      <c r="AE1" s="8" t="str">
        <f>IFERROR(__xludf.DUMMYFUNCTION("""COMPUTED_VALUE"""),"C")</f>
        <v>C</v>
      </c>
      <c r="AF1" s="8" t="str">
        <f>IFERROR(__xludf.DUMMYFUNCTION("""COMPUTED_VALUE"""),"C")</f>
        <v>C</v>
      </c>
      <c r="AG1" s="9" t="str">
        <f>IFERROR(__xludf.DUMMYFUNCTION("""COMPUTED_VALUE"""),"D")</f>
        <v>D</v>
      </c>
      <c r="AH1" s="10" t="str">
        <f>IFERROR(__xludf.DUMMYFUNCTION("""COMPUTED_VALUE"""),"D")</f>
        <v>D</v>
      </c>
      <c r="AI1" s="4"/>
      <c r="AJ1" s="10" t="str">
        <f>IFERROR(__xludf.DUMMYFUNCTION("""COMPUTED_VALUE"""),"D")</f>
        <v>D</v>
      </c>
      <c r="AK1" s="4"/>
      <c r="AL1" s="9" t="str">
        <f>IFERROR(__xludf.DUMMYFUNCTION("""COMPUTED_VALUE"""),"D")</f>
        <v>D</v>
      </c>
      <c r="AM1" s="10" t="str">
        <f>IFERROR(__xludf.DUMMYFUNCTION("""COMPUTED_VALUE"""),"D")</f>
        <v>D</v>
      </c>
      <c r="AN1" s="4"/>
      <c r="AO1" s="10" t="str">
        <f>IFERROR(__xludf.DUMMYFUNCTION("""COMPUTED_VALUE"""),"D")</f>
        <v>D</v>
      </c>
      <c r="AP1" s="4"/>
      <c r="AQ1" s="9" t="str">
        <f>IFERROR(__xludf.DUMMYFUNCTION("""COMPUTED_VALUE"""),"D")</f>
        <v>D</v>
      </c>
      <c r="AR1" s="2" t="str">
        <f>IFERROR(__xludf.DUMMYFUNCTION("""COMPUTED_VALUE"""),"E")</f>
        <v>E</v>
      </c>
      <c r="AS1" s="2" t="str">
        <f>IFERROR(__xludf.DUMMYFUNCTION("""COMPUTED_VALUE"""),"E")</f>
        <v>E</v>
      </c>
      <c r="AT1" s="2" t="str">
        <f>IFERROR(__xludf.DUMMYFUNCTION("""COMPUTED_VALUE"""),"E")</f>
        <v>E</v>
      </c>
      <c r="AU1" s="2" t="str">
        <f>IFERROR(__xludf.DUMMYFUNCTION("""COMPUTED_VALUE"""),"E")</f>
        <v>E</v>
      </c>
      <c r="AV1" s="2" t="str">
        <f>IFERROR(__xludf.DUMMYFUNCTION("""COMPUTED_VALUE"""),"E")</f>
        <v>E</v>
      </c>
      <c r="AW1" s="2" t="str">
        <f>IFERROR(__xludf.DUMMYFUNCTION("""COMPUTED_VALUE"""),"E")</f>
        <v>E</v>
      </c>
      <c r="AX1" s="6" t="str">
        <f>IFERROR(__xludf.DUMMYFUNCTION("""COMPUTED_VALUE"""),"F")</f>
        <v>F</v>
      </c>
      <c r="AY1" s="6" t="str">
        <f>IFERROR(__xludf.DUMMYFUNCTION("""COMPUTED_VALUE"""),"F")</f>
        <v>F</v>
      </c>
      <c r="AZ1" s="6" t="str">
        <f>IFERROR(__xludf.DUMMYFUNCTION("""COMPUTED_VALUE"""),"F")</f>
        <v>F</v>
      </c>
      <c r="BA1" s="6" t="str">
        <f>IFERROR(__xludf.DUMMYFUNCTION("""COMPUTED_VALUE"""),"F")</f>
        <v>F</v>
      </c>
      <c r="BB1" s="6" t="str">
        <f>IFERROR(__xludf.DUMMYFUNCTION("""COMPUTED_VALUE"""),"F")</f>
        <v>F</v>
      </c>
      <c r="BC1" s="6" t="str">
        <f>IFERROR(__xludf.DUMMYFUNCTION("""COMPUTED_VALUE"""),"F")</f>
        <v>F</v>
      </c>
      <c r="BD1" s="6" t="str">
        <f>IFERROR(__xludf.DUMMYFUNCTION("""COMPUTED_VALUE"""),"F")</f>
        <v>F</v>
      </c>
      <c r="BE1" s="6" t="str">
        <f>IFERROR(__xludf.DUMMYFUNCTION("""COMPUTED_VALUE"""),"F")</f>
        <v>F</v>
      </c>
      <c r="BF1" s="8" t="str">
        <f>IFERROR(__xludf.DUMMYFUNCTION("""COMPUTED_VALUE"""),"G")</f>
        <v>G</v>
      </c>
      <c r="BG1" s="8" t="str">
        <f>IFERROR(__xludf.DUMMYFUNCTION("""COMPUTED_VALUE"""),"G")</f>
        <v>G</v>
      </c>
      <c r="BH1" s="8" t="str">
        <f>IFERROR(__xludf.DUMMYFUNCTION("""COMPUTED_VALUE"""),"G")</f>
        <v>G</v>
      </c>
      <c r="BI1" s="8" t="str">
        <f>IFERROR(__xludf.DUMMYFUNCTION("""COMPUTED_VALUE"""),"G")</f>
        <v>G</v>
      </c>
      <c r="BJ1" s="8" t="str">
        <f>IFERROR(__xludf.DUMMYFUNCTION("""COMPUTED_VALUE"""),"G")</f>
        <v>G</v>
      </c>
      <c r="BK1" s="8" t="str">
        <f>IFERROR(__xludf.DUMMYFUNCTION("""COMPUTED_VALUE"""),"G")</f>
        <v>G</v>
      </c>
      <c r="BL1" s="8" t="str">
        <f>IFERROR(__xludf.DUMMYFUNCTION("""COMPUTED_VALUE"""),"G")</f>
        <v>G</v>
      </c>
      <c r="BM1" s="9" t="str">
        <f>IFERROR(__xludf.DUMMYFUNCTION("""COMPUTED_VALUE"""),"H")</f>
        <v>H</v>
      </c>
      <c r="BN1" s="9" t="str">
        <f>IFERROR(__xludf.DUMMYFUNCTION("""COMPUTED_VALUE"""),"H")</f>
        <v>H</v>
      </c>
      <c r="BO1" s="9" t="str">
        <f>IFERROR(__xludf.DUMMYFUNCTION("""COMPUTED_VALUE"""),"H")</f>
        <v>H</v>
      </c>
      <c r="BP1" s="9" t="str">
        <f>IFERROR(__xludf.DUMMYFUNCTION("""COMPUTED_VALUE"""),"H")</f>
        <v>H</v>
      </c>
      <c r="BQ1" s="9" t="str">
        <f>IFERROR(__xludf.DUMMYFUNCTION("""COMPUTED_VALUE"""),"H")</f>
        <v>H</v>
      </c>
      <c r="BR1" s="9" t="str">
        <f>IFERROR(__xludf.DUMMYFUNCTION("""COMPUTED_VALUE"""),"H")</f>
        <v>H</v>
      </c>
      <c r="BS1" s="9" t="str">
        <f>IFERROR(__xludf.DUMMYFUNCTION("""COMPUTED_VALUE"""),"H")</f>
        <v>H</v>
      </c>
    </row>
    <row r="2">
      <c r="A2" s="11" t="str">
        <f>IFERROR(__xludf.DUMMYFUNCTION("""COMPUTED_VALUE"""),"Subject")</f>
        <v>Subject</v>
      </c>
      <c r="B2" s="12" t="str">
        <f>IFERROR(__xludf.DUMMYFUNCTION("""COMPUTED_VALUE"""),"English LangLit")</f>
        <v>English LangLit</v>
      </c>
      <c r="C2" s="13" t="str">
        <f>IFERROR(__xludf.DUMMYFUNCTION("""COMPUTED_VALUE"""),"Global Politics/Política Global")</f>
        <v>Global Politics/Política Global</v>
      </c>
      <c r="D2" s="4"/>
      <c r="E2" s="14" t="str">
        <f>IFERROR(__xludf.DUMMYFUNCTION("""COMPUTED_VALUE"""),"Historia")</f>
        <v>Historia</v>
      </c>
      <c r="F2" s="4"/>
      <c r="G2" s="13" t="str">
        <f>IFERROR(__xludf.DUMMYFUNCTION("""COMPUTED_VALUE"""),"Economics")</f>
        <v>Economics</v>
      </c>
      <c r="H2" s="4"/>
      <c r="I2" s="12" t="str">
        <f>IFERROR(__xludf.DUMMYFUNCTION("""COMPUTED_VALUE"""),"Chemistry")</f>
        <v>Chemistry</v>
      </c>
      <c r="J2" s="13" t="str">
        <f>IFERROR(__xludf.DUMMYFUNCTION("""COMPUTED_VALUE"""),"Visual Arts")</f>
        <v>Visual Arts</v>
      </c>
      <c r="K2" s="4"/>
      <c r="L2" s="15" t="str">
        <f>IFERROR(__xludf.DUMMYFUNCTION("""COMPUTED_VALUE"""),"English Lit")</f>
        <v>English Lit</v>
      </c>
      <c r="M2" s="4"/>
      <c r="N2" s="15" t="str">
        <f>IFERROR(__xludf.DUMMYFUNCTION("""COMPUTED_VALUE"""),"Spanish LangLit")</f>
        <v>Spanish LangLit</v>
      </c>
      <c r="O2" s="4"/>
      <c r="P2" s="16" t="str">
        <f>IFERROR(__xludf.DUMMYFUNCTION("""COMPUTED_VALUE"""),"Spanish B")</f>
        <v>Spanish B</v>
      </c>
      <c r="Q2" s="15" t="str">
        <f>IFERROR(__xludf.DUMMYFUNCTION("""COMPUTED_VALUE"""),"Anthropology")</f>
        <v>Anthropology</v>
      </c>
      <c r="R2" s="4"/>
      <c r="S2" s="15" t="str">
        <f>IFERROR(__xludf.DUMMYFUNCTION("""COMPUTED_VALUE"""),"Global Politics/Política Global")</f>
        <v>Global Politics/Política Global</v>
      </c>
      <c r="T2" s="4"/>
      <c r="U2" s="16" t="str">
        <f>IFERROR(__xludf.DUMMYFUNCTION("""COMPUTED_VALUE"""),"Biology")</f>
        <v>Biology</v>
      </c>
      <c r="V2" s="16" t="str">
        <f>IFERROR(__xludf.DUMMYFUNCTION("""COMPUTED_VALUE"""),"Biology")</f>
        <v>Biology</v>
      </c>
      <c r="W2" s="16" t="str">
        <f>IFERROR(__xludf.DUMMYFUNCTION("""COMPUTED_VALUE"""),"Physics")</f>
        <v>Physics</v>
      </c>
      <c r="X2" s="17" t="str">
        <f>IFERROR(__xludf.DUMMYFUNCTION("""COMPUTED_VALUE"""),"English B")</f>
        <v>English B</v>
      </c>
      <c r="Y2" s="4"/>
      <c r="Z2" s="17" t="str">
        <f>IFERROR(__xludf.DUMMYFUNCTION("""COMPUTED_VALUE"""),"Psychology")</f>
        <v>Psychology</v>
      </c>
      <c r="AA2" s="4"/>
      <c r="AB2" s="17" t="str">
        <f>IFERROR(__xludf.DUMMYFUNCTION("""COMPUTED_VALUE"""),"Global Politics/Política Global")</f>
        <v>Global Politics/Política Global</v>
      </c>
      <c r="AC2" s="4"/>
      <c r="AD2" s="18" t="str">
        <f>IFERROR(__xludf.DUMMYFUNCTION("""COMPUTED_VALUE"""),"Biology")</f>
        <v>Biology</v>
      </c>
      <c r="AE2" s="18" t="str">
        <f>IFERROR(__xludf.DUMMYFUNCTION("""COMPUTED_VALUE"""),"Physics")</f>
        <v>Physics</v>
      </c>
      <c r="AF2" s="19" t="str">
        <f>IFERROR(__xludf.DUMMYFUNCTION("""COMPUTED_VALUE"""),"TOK")</f>
        <v>TOK</v>
      </c>
      <c r="AG2" s="20" t="str">
        <f>IFERROR(__xludf.DUMMYFUNCTION("""COMPUTED_VALUE"""),"English LangLit")</f>
        <v>English LangLit</v>
      </c>
      <c r="AH2" s="21" t="str">
        <f>IFERROR(__xludf.DUMMYFUNCTION("""COMPUTED_VALUE"""),"Anthropology")</f>
        <v>Anthropology</v>
      </c>
      <c r="AI2" s="4"/>
      <c r="AJ2" s="21" t="str">
        <f>IFERROR(__xludf.DUMMYFUNCTION("""COMPUTED_VALUE"""),"Economics")</f>
        <v>Economics</v>
      </c>
      <c r="AK2" s="4"/>
      <c r="AL2" s="20" t="str">
        <f>IFERROR(__xludf.DUMMYFUNCTION("""COMPUTED_VALUE"""),"Maths AA")</f>
        <v>Maths AA</v>
      </c>
      <c r="AM2" s="21" t="str">
        <f>IFERROR(__xludf.DUMMYFUNCTION("""COMPUTED_VALUE"""),"Visual Arts")</f>
        <v>Visual Arts</v>
      </c>
      <c r="AN2" s="4"/>
      <c r="AO2" s="21" t="str">
        <f>IFERROR(__xludf.DUMMYFUNCTION("""COMPUTED_VALUE"""),"Theatre")</f>
        <v>Theatre</v>
      </c>
      <c r="AP2" s="4"/>
      <c r="AQ2" s="22" t="str">
        <f>IFERROR(__xludf.DUMMYFUNCTION("""COMPUTED_VALUE"""),"TDC")</f>
        <v>TDC</v>
      </c>
      <c r="AR2" s="12" t="str">
        <f>IFERROR(__xludf.DUMMYFUNCTION("""COMPUTED_VALUE"""),"English LangLit")</f>
        <v>English LangLit</v>
      </c>
      <c r="AS2" s="12" t="str">
        <f>IFERROR(__xludf.DUMMYFUNCTION("""COMPUTED_VALUE"""),"Spanish AB")</f>
        <v>Spanish AB</v>
      </c>
      <c r="AT2" s="12" t="str">
        <f>IFERROR(__xludf.DUMMYFUNCTION("""COMPUTED_VALUE"""),"Biology")</f>
        <v>Biology</v>
      </c>
      <c r="AU2" s="12" t="str">
        <f>IFERROR(__xludf.DUMMYFUNCTION("""COMPUTED_VALUE"""),"Maths AA")</f>
        <v>Maths AA</v>
      </c>
      <c r="AV2" s="12" t="str">
        <f>IFERROR(__xludf.DUMMYFUNCTION("""COMPUTED_VALUE"""),"Maths AI ")</f>
        <v>Maths AI </v>
      </c>
      <c r="AW2" s="12" t="str">
        <f>IFERROR(__xludf.DUMMYFUNCTION("""COMPUTED_VALUE"""),"TOK")</f>
        <v>TOK</v>
      </c>
      <c r="AX2" s="16" t="str">
        <f>IFERROR(__xludf.DUMMYFUNCTION("""COMPUTED_VALUE"""),"English LangLit SL")</f>
        <v>English LangLit SL</v>
      </c>
      <c r="AY2" s="16" t="str">
        <f>IFERROR(__xludf.DUMMYFUNCTION("""COMPUTED_VALUE"""),"Physics")</f>
        <v>Physics</v>
      </c>
      <c r="AZ2" s="16" t="str">
        <f>IFERROR(__xludf.DUMMYFUNCTION("""COMPUTED_VALUE"""),"ESS")</f>
        <v>ESS</v>
      </c>
      <c r="BA2" s="16" t="str">
        <f>IFERROR(__xludf.DUMMYFUNCTION("""COMPUTED_VALUE"""),"Sistemas")</f>
        <v>Sistemas</v>
      </c>
      <c r="BB2" s="16" t="str">
        <f>IFERROR(__xludf.DUMMYFUNCTION("""COMPUTED_VALUE"""),"Maths AA")</f>
        <v>Maths AA</v>
      </c>
      <c r="BC2" s="16" t="str">
        <f>IFERROR(__xludf.DUMMYFUNCTION("""COMPUTED_VALUE"""),"Maths AI")</f>
        <v>Maths AI</v>
      </c>
      <c r="BD2" s="16" t="str">
        <f>IFERROR(__xludf.DUMMYFUNCTION("""COMPUTED_VALUE"""),"Spanish LangLit SL")</f>
        <v>Spanish LangLit SL</v>
      </c>
      <c r="BE2" s="16" t="str">
        <f>IFERROR(__xludf.DUMMYFUNCTION("""COMPUTED_VALUE"""),"TOK")</f>
        <v>TOK</v>
      </c>
      <c r="BF2" s="18" t="str">
        <f>IFERROR(__xludf.DUMMYFUNCTION("""COMPUTED_VALUE"""),"Spanish Ab Initio")</f>
        <v>Spanish Ab Initio</v>
      </c>
      <c r="BG2" s="18" t="str">
        <f>IFERROR(__xludf.DUMMYFUNCTION("""COMPUTED_VALUE"""),"English L&amp;L")</f>
        <v>English L&amp;L</v>
      </c>
      <c r="BH2" s="18" t="str">
        <f>IFERROR(__xludf.DUMMYFUNCTION("""COMPUTED_VALUE"""),"Chemistry")</f>
        <v>Chemistry</v>
      </c>
      <c r="BI2" s="18" t="str">
        <f>IFERROR(__xludf.DUMMYFUNCTION("""COMPUTED_VALUE"""),"ESS")</f>
        <v>ESS</v>
      </c>
      <c r="BJ2" s="18" t="str">
        <f>IFERROR(__xludf.DUMMYFUNCTION("""COMPUTED_VALUE"""),"Maths AI (in Spanish)")</f>
        <v>Maths AI (in Spanish)</v>
      </c>
      <c r="BK2" s="18" t="str">
        <f>IFERROR(__xludf.DUMMYFUNCTION("""COMPUTED_VALUE"""),"Maths AA")</f>
        <v>Maths AA</v>
      </c>
      <c r="BL2" s="18" t="str">
        <f>IFERROR(__xludf.DUMMYFUNCTION("""COMPUTED_VALUE"""),"TOK")</f>
        <v>TOK</v>
      </c>
      <c r="BM2" s="20" t="str">
        <f>IFERROR(__xludf.DUMMYFUNCTION("""COMPUTED_VALUE"""),"English LangLit")</f>
        <v>English LangLit</v>
      </c>
      <c r="BN2" s="20" t="str">
        <f>IFERROR(__xludf.DUMMYFUNCTION("""COMPUTED_VALUE"""),"Spanish Ab Initio")</f>
        <v>Spanish Ab Initio</v>
      </c>
      <c r="BO2" s="20" t="str">
        <f>IFERROR(__xludf.DUMMYFUNCTION("""COMPUTED_VALUE"""),"Spanish B")</f>
        <v>Spanish B</v>
      </c>
      <c r="BP2" s="22" t="str">
        <f>IFERROR(__xludf.DUMMYFUNCTION("""COMPUTED_VALUE"""),"Maths AI")</f>
        <v>Maths AI</v>
      </c>
      <c r="BQ2" s="20" t="str">
        <f>IFERROR(__xludf.DUMMYFUNCTION("""COMPUTED_VALUE"""),"TOK")</f>
        <v>TOK</v>
      </c>
      <c r="BR2" s="20" t="str">
        <f>IFERROR(__xludf.DUMMYFUNCTION("""COMPUTED_VALUE"""),"TDC")</f>
        <v>TDC</v>
      </c>
      <c r="BS2" s="20" t="str">
        <f>IFERROR(__xludf.DUMMYFUNCTION("""COMPUTED_VALUE"""),"SSST Lit")</f>
        <v>SSST Lit</v>
      </c>
    </row>
    <row r="3">
      <c r="A3" s="11" t="str">
        <f>IFERROR(__xludf.DUMMYFUNCTION("""COMPUTED_VALUE"""),"Level")</f>
        <v>Level</v>
      </c>
      <c r="B3" s="2" t="str">
        <f>IFERROR(__xludf.DUMMYFUNCTION("""COMPUTED_VALUE"""),"HL")</f>
        <v>HL</v>
      </c>
      <c r="C3" s="2" t="str">
        <f>IFERROR(__xludf.DUMMYFUNCTION("""COMPUTED_VALUE"""),"HL")</f>
        <v>HL</v>
      </c>
      <c r="D3" s="2" t="str">
        <f>IFERROR(__xludf.DUMMYFUNCTION("""COMPUTED_VALUE"""),"SL")</f>
        <v>SL</v>
      </c>
      <c r="E3" s="2" t="str">
        <f>IFERROR(__xludf.DUMMYFUNCTION("""COMPUTED_VALUE"""),"HL")</f>
        <v>HL</v>
      </c>
      <c r="F3" s="2" t="str">
        <f>IFERROR(__xludf.DUMMYFUNCTION("""COMPUTED_VALUE"""),"SL")</f>
        <v>SL</v>
      </c>
      <c r="G3" s="2" t="str">
        <f>IFERROR(__xludf.DUMMYFUNCTION("""COMPUTED_VALUE"""),"HL")</f>
        <v>HL</v>
      </c>
      <c r="H3" s="2" t="str">
        <f>IFERROR(__xludf.DUMMYFUNCTION("""COMPUTED_VALUE"""),"SL")</f>
        <v>SL</v>
      </c>
      <c r="I3" s="2" t="str">
        <f>IFERROR(__xludf.DUMMYFUNCTION("""COMPUTED_VALUE"""),"HL")</f>
        <v>HL</v>
      </c>
      <c r="J3" s="2" t="str">
        <f>IFERROR(__xludf.DUMMYFUNCTION("""COMPUTED_VALUE"""),"HL")</f>
        <v>HL</v>
      </c>
      <c r="K3" s="2" t="str">
        <f>IFERROR(__xludf.DUMMYFUNCTION("""COMPUTED_VALUE"""),"SL")</f>
        <v>SL</v>
      </c>
      <c r="L3" s="6" t="str">
        <f>IFERROR(__xludf.DUMMYFUNCTION("""COMPUTED_VALUE"""),"HL")</f>
        <v>HL</v>
      </c>
      <c r="M3" s="6" t="str">
        <f>IFERROR(__xludf.DUMMYFUNCTION("""COMPUTED_VALUE"""),"SL")</f>
        <v>SL</v>
      </c>
      <c r="N3" s="6" t="str">
        <f>IFERROR(__xludf.DUMMYFUNCTION("""COMPUTED_VALUE"""),"HL")</f>
        <v>HL</v>
      </c>
      <c r="O3" s="6" t="str">
        <f>IFERROR(__xludf.DUMMYFUNCTION("""COMPUTED_VALUE"""),"SL")</f>
        <v>SL</v>
      </c>
      <c r="P3" s="6" t="str">
        <f>IFERROR(__xludf.DUMMYFUNCTION("""COMPUTED_VALUE"""),"HL")</f>
        <v>HL</v>
      </c>
      <c r="Q3" s="6" t="str">
        <f>IFERROR(__xludf.DUMMYFUNCTION("""COMPUTED_VALUE"""),"HL")</f>
        <v>HL</v>
      </c>
      <c r="R3" s="6" t="str">
        <f>IFERROR(__xludf.DUMMYFUNCTION("""COMPUTED_VALUE"""),"SL")</f>
        <v>SL</v>
      </c>
      <c r="S3" s="6" t="str">
        <f>IFERROR(__xludf.DUMMYFUNCTION("""COMPUTED_VALUE"""),"HL")</f>
        <v>HL</v>
      </c>
      <c r="T3" s="6" t="str">
        <f>IFERROR(__xludf.DUMMYFUNCTION("""COMPUTED_VALUE"""),"SL")</f>
        <v>SL</v>
      </c>
      <c r="U3" s="6" t="str">
        <f>IFERROR(__xludf.DUMMYFUNCTION("""COMPUTED_VALUE"""),"HL")</f>
        <v>HL</v>
      </c>
      <c r="V3" s="6" t="str">
        <f>IFERROR(__xludf.DUMMYFUNCTION("""COMPUTED_VALUE"""),"SL")</f>
        <v>SL</v>
      </c>
      <c r="W3" s="6" t="str">
        <f>IFERROR(__xludf.DUMMYFUNCTION("""COMPUTED_VALUE"""),"HL")</f>
        <v>HL</v>
      </c>
      <c r="X3" s="8" t="str">
        <f>IFERROR(__xludf.DUMMYFUNCTION("""COMPUTED_VALUE"""),"HL")</f>
        <v>HL</v>
      </c>
      <c r="Y3" s="8" t="str">
        <f>IFERROR(__xludf.DUMMYFUNCTION("""COMPUTED_VALUE"""),"SL")</f>
        <v>SL</v>
      </c>
      <c r="Z3" s="8" t="str">
        <f>IFERROR(__xludf.DUMMYFUNCTION("""COMPUTED_VALUE"""),"HL")</f>
        <v>HL</v>
      </c>
      <c r="AA3" s="8" t="str">
        <f>IFERROR(__xludf.DUMMYFUNCTION("""COMPUTED_VALUE"""),"SL")</f>
        <v>SL</v>
      </c>
      <c r="AB3" s="8" t="str">
        <f>IFERROR(__xludf.DUMMYFUNCTION("""COMPUTED_VALUE"""),"HL")</f>
        <v>HL</v>
      </c>
      <c r="AC3" s="8" t="str">
        <f>IFERROR(__xludf.DUMMYFUNCTION("""COMPUTED_VALUE"""),"SL")</f>
        <v>SL</v>
      </c>
      <c r="AD3" s="8" t="str">
        <f>IFERROR(__xludf.DUMMYFUNCTION("""COMPUTED_VALUE"""),"HL")</f>
        <v>HL</v>
      </c>
      <c r="AE3" s="8" t="str">
        <f>IFERROR(__xludf.DUMMYFUNCTION("""COMPUTED_VALUE"""),"HL")</f>
        <v>HL</v>
      </c>
      <c r="AF3" s="23" t="str">
        <f>IFERROR(__xludf.DUMMYFUNCTION("""COMPUTED_VALUE"""),"TK")</f>
        <v>TK</v>
      </c>
      <c r="AG3" s="9" t="str">
        <f>IFERROR(__xludf.DUMMYFUNCTION("""COMPUTED_VALUE"""),"HL")</f>
        <v>HL</v>
      </c>
      <c r="AH3" s="9" t="str">
        <f>IFERROR(__xludf.DUMMYFUNCTION("""COMPUTED_VALUE"""),"HL")</f>
        <v>HL</v>
      </c>
      <c r="AI3" s="9" t="str">
        <f>IFERROR(__xludf.DUMMYFUNCTION("""COMPUTED_VALUE"""),"SL")</f>
        <v>SL</v>
      </c>
      <c r="AJ3" s="9" t="str">
        <f>IFERROR(__xludf.DUMMYFUNCTION("""COMPUTED_VALUE"""),"HL")</f>
        <v>HL</v>
      </c>
      <c r="AK3" s="9" t="str">
        <f>IFERROR(__xludf.DUMMYFUNCTION("""COMPUTED_VALUE"""),"SL")</f>
        <v>SL</v>
      </c>
      <c r="AL3" s="9" t="str">
        <f>IFERROR(__xludf.DUMMYFUNCTION("""COMPUTED_VALUE"""),"HL")</f>
        <v>HL</v>
      </c>
      <c r="AM3" s="9" t="str">
        <f>IFERROR(__xludf.DUMMYFUNCTION("""COMPUTED_VALUE"""),"HL")</f>
        <v>HL</v>
      </c>
      <c r="AN3" s="9" t="str">
        <f>IFERROR(__xludf.DUMMYFUNCTION("""COMPUTED_VALUE"""),"SL")</f>
        <v>SL</v>
      </c>
      <c r="AO3" s="9" t="str">
        <f>IFERROR(__xludf.DUMMYFUNCTION("""COMPUTED_VALUE"""),"HL")</f>
        <v>HL</v>
      </c>
      <c r="AP3" s="9" t="str">
        <f>IFERROR(__xludf.DUMMYFUNCTION("""COMPUTED_VALUE"""),"SL")</f>
        <v>SL</v>
      </c>
      <c r="AQ3" s="9" t="str">
        <f>IFERROR(__xludf.DUMMYFUNCTION("""COMPUTED_VALUE"""),"TK")</f>
        <v>TK</v>
      </c>
      <c r="AR3" s="2" t="str">
        <f>IFERROR(__xludf.DUMMYFUNCTION("""COMPUTED_VALUE"""),"SL")</f>
        <v>SL</v>
      </c>
      <c r="AS3" s="2" t="str">
        <f>IFERROR(__xludf.DUMMYFUNCTION("""COMPUTED_VALUE"""),"SL")</f>
        <v>SL</v>
      </c>
      <c r="AT3" s="2" t="str">
        <f>IFERROR(__xludf.DUMMYFUNCTION("""COMPUTED_VALUE"""),"SL")</f>
        <v>SL</v>
      </c>
      <c r="AU3" s="2" t="str">
        <f>IFERROR(__xludf.DUMMYFUNCTION("""COMPUTED_VALUE"""),"SL")</f>
        <v>SL</v>
      </c>
      <c r="AV3" s="2" t="str">
        <f>IFERROR(__xludf.DUMMYFUNCTION("""COMPUTED_VALUE"""),"SL")</f>
        <v>SL</v>
      </c>
      <c r="AW3" s="2" t="str">
        <f>IFERROR(__xludf.DUMMYFUNCTION("""COMPUTED_VALUE"""),"TK")</f>
        <v>TK</v>
      </c>
      <c r="AX3" s="6" t="str">
        <f>IFERROR(__xludf.DUMMYFUNCTION("""COMPUTED_VALUE"""),"SL")</f>
        <v>SL</v>
      </c>
      <c r="AY3" s="6" t="str">
        <f>IFERROR(__xludf.DUMMYFUNCTION("""COMPUTED_VALUE"""),"SL")</f>
        <v>SL</v>
      </c>
      <c r="AZ3" s="6" t="str">
        <f>IFERROR(__xludf.DUMMYFUNCTION("""COMPUTED_VALUE"""),"SL")</f>
        <v>SL</v>
      </c>
      <c r="BA3" s="6" t="str">
        <f>IFERROR(__xludf.DUMMYFUNCTION("""COMPUTED_VALUE"""),"SL")</f>
        <v>SL</v>
      </c>
      <c r="BB3" s="6" t="str">
        <f>IFERROR(__xludf.DUMMYFUNCTION("""COMPUTED_VALUE"""),"SL")</f>
        <v>SL</v>
      </c>
      <c r="BC3" s="6" t="str">
        <f>IFERROR(__xludf.DUMMYFUNCTION("""COMPUTED_VALUE"""),"SL")</f>
        <v>SL</v>
      </c>
      <c r="BD3" s="6" t="str">
        <f>IFERROR(__xludf.DUMMYFUNCTION("""COMPUTED_VALUE"""),"SL")</f>
        <v>SL</v>
      </c>
      <c r="BE3" s="6" t="str">
        <f>IFERROR(__xludf.DUMMYFUNCTION("""COMPUTED_VALUE"""),"TK")</f>
        <v>TK</v>
      </c>
      <c r="BF3" s="8" t="str">
        <f>IFERROR(__xludf.DUMMYFUNCTION("""COMPUTED_VALUE"""),"SL")</f>
        <v>SL</v>
      </c>
      <c r="BG3" s="8" t="str">
        <f>IFERROR(__xludf.DUMMYFUNCTION("""COMPUTED_VALUE"""),"SL")</f>
        <v>SL</v>
      </c>
      <c r="BH3" s="8" t="str">
        <f>IFERROR(__xludf.DUMMYFUNCTION("""COMPUTED_VALUE"""),"SL")</f>
        <v>SL</v>
      </c>
      <c r="BI3" s="8" t="str">
        <f>IFERROR(__xludf.DUMMYFUNCTION("""COMPUTED_VALUE"""),"SL")</f>
        <v>SL</v>
      </c>
      <c r="BJ3" s="8" t="str">
        <f>IFERROR(__xludf.DUMMYFUNCTION("""COMPUTED_VALUE"""),"SL")</f>
        <v>SL</v>
      </c>
      <c r="BK3" s="8" t="str">
        <f>IFERROR(__xludf.DUMMYFUNCTION("""COMPUTED_VALUE"""),"SL")</f>
        <v>SL</v>
      </c>
      <c r="BL3" s="8" t="str">
        <f>IFERROR(__xludf.DUMMYFUNCTION("""COMPUTED_VALUE"""),"TK")</f>
        <v>TK</v>
      </c>
      <c r="BM3" s="9" t="str">
        <f>IFERROR(__xludf.DUMMYFUNCTION("""COMPUTED_VALUE"""),"SL")</f>
        <v>SL</v>
      </c>
      <c r="BN3" s="9" t="str">
        <f>IFERROR(__xludf.DUMMYFUNCTION("""COMPUTED_VALUE"""),"SL")</f>
        <v>SL</v>
      </c>
      <c r="BO3" s="9" t="str">
        <f>IFERROR(__xludf.DUMMYFUNCTION("""COMPUTED_VALUE"""),"SL")</f>
        <v>SL</v>
      </c>
      <c r="BP3" s="9" t="str">
        <f>IFERROR(__xludf.DUMMYFUNCTION("""COMPUTED_VALUE"""),"SL")</f>
        <v>SL</v>
      </c>
      <c r="BQ3" s="9" t="str">
        <f>IFERROR(__xludf.DUMMYFUNCTION("""COMPUTED_VALUE"""),"TK")</f>
        <v>TK</v>
      </c>
      <c r="BR3" s="9" t="str">
        <f>IFERROR(__xludf.DUMMYFUNCTION("""COMPUTED_VALUE"""),"TK")</f>
        <v>TK</v>
      </c>
      <c r="BS3" s="9" t="str">
        <f>IFERROR(__xludf.DUMMYFUNCTION("""COMPUTED_VALUE"""),"SL")</f>
        <v>SL</v>
      </c>
    </row>
    <row r="4">
      <c r="A4" s="11" t="str">
        <f>IFERROR(__xludf.DUMMYFUNCTION("""COMPUTED_VALUE"""),"Teacher")</f>
        <v>Teacher</v>
      </c>
      <c r="B4" s="2" t="str">
        <f>IFERROR(__xludf.DUMMYFUNCTION("""COMPUTED_VALUE"""),"Sofía")</f>
        <v>Sofía</v>
      </c>
      <c r="C4" s="3" t="str">
        <f>IFERROR(__xludf.DUMMYFUNCTION("""COMPUTED_VALUE"""),"Ryan")</f>
        <v>Ryan</v>
      </c>
      <c r="D4" s="4"/>
      <c r="E4" s="3" t="str">
        <f>IFERROR(__xludf.DUMMYFUNCTION("""COMPUTED_VALUE"""),"Norman")</f>
        <v>Norman</v>
      </c>
      <c r="F4" s="4"/>
      <c r="G4" s="3" t="str">
        <f>IFERROR(__xludf.DUMMYFUNCTION("""COMPUTED_VALUE"""),"Brian")</f>
        <v>Brian</v>
      </c>
      <c r="H4" s="4"/>
      <c r="I4" s="2" t="str">
        <f>IFERROR(__xludf.DUMMYFUNCTION("""COMPUTED_VALUE"""),"Karina")</f>
        <v>Karina</v>
      </c>
      <c r="J4" s="3" t="str">
        <f>IFERROR(__xludf.DUMMYFUNCTION("""COMPUTED_VALUE"""),"Melissa")</f>
        <v>Melissa</v>
      </c>
      <c r="K4" s="4"/>
      <c r="L4" s="5" t="str">
        <f>IFERROR(__xludf.DUMMYFUNCTION("""COMPUTED_VALUE"""),"Heloise")</f>
        <v>Heloise</v>
      </c>
      <c r="M4" s="4"/>
      <c r="N4" s="5" t="str">
        <f>IFERROR(__xludf.DUMMYFUNCTION("""COMPUTED_VALUE"""),"Rolando")</f>
        <v>Rolando</v>
      </c>
      <c r="O4" s="4"/>
      <c r="P4" s="6" t="str">
        <f>IFERROR(__xludf.DUMMYFUNCTION("""COMPUTED_VALUE"""),"Ana Teresa")</f>
        <v>Ana Teresa</v>
      </c>
      <c r="Q4" s="5" t="str">
        <f>IFERROR(__xludf.DUMMYFUNCTION("""COMPUTED_VALUE"""),"Jeff Lile")</f>
        <v>Jeff Lile</v>
      </c>
      <c r="R4" s="4"/>
      <c r="S4" s="5" t="str">
        <f>IFERROR(__xludf.DUMMYFUNCTION("""COMPUTED_VALUE"""),"Tiya")</f>
        <v>Tiya</v>
      </c>
      <c r="T4" s="4"/>
      <c r="U4" s="6" t="str">
        <f>IFERROR(__xludf.DUMMYFUNCTION("""COMPUTED_VALUE"""),"Jeff N.")</f>
        <v>Jeff N.</v>
      </c>
      <c r="V4" s="6" t="str">
        <f>IFERROR(__xludf.DUMMYFUNCTION("""COMPUTED_VALUE"""),"Jeff N.")</f>
        <v>Jeff N.</v>
      </c>
      <c r="W4" s="6" t="str">
        <f>IFERROR(__xludf.DUMMYFUNCTION("""COMPUTED_VALUE"""),"Erick")</f>
        <v>Erick</v>
      </c>
      <c r="X4" s="7" t="str">
        <f>IFERROR(__xludf.DUMMYFUNCTION("""COMPUTED_VALUE"""),"Nicholas")</f>
        <v>Nicholas</v>
      </c>
      <c r="Y4" s="4"/>
      <c r="Z4" s="7" t="str">
        <f>IFERROR(__xludf.DUMMYFUNCTION("""COMPUTED_VALUE"""),"Karlina")</f>
        <v>Karlina</v>
      </c>
      <c r="AA4" s="4"/>
      <c r="AB4" s="7" t="str">
        <f>IFERROR(__xludf.DUMMYFUNCTION("""COMPUTED_VALUE"""),"Ryan")</f>
        <v>Ryan</v>
      </c>
      <c r="AC4" s="4"/>
      <c r="AD4" s="8" t="str">
        <f>IFERROR(__xludf.DUMMYFUNCTION("""COMPUTED_VALUE"""),"Jeff N.")</f>
        <v>Jeff N.</v>
      </c>
      <c r="AE4" s="8" t="str">
        <f>IFERROR(__xludf.DUMMYFUNCTION("""COMPUTED_VALUE"""),"Erick")</f>
        <v>Erick</v>
      </c>
      <c r="AF4" s="23" t="str">
        <f>IFERROR(__xludf.DUMMYFUNCTION("""COMPUTED_VALUE"""),"QQ")</f>
        <v>QQ</v>
      </c>
      <c r="AG4" s="9" t="str">
        <f>IFERROR(__xludf.DUMMYFUNCTION("""COMPUTED_VALUE"""),"Sofía")</f>
        <v>Sofía</v>
      </c>
      <c r="AH4" s="10" t="str">
        <f>IFERROR(__xludf.DUMMYFUNCTION("""COMPUTED_VALUE"""),"Jeff Lile")</f>
        <v>Jeff Lile</v>
      </c>
      <c r="AI4" s="4"/>
      <c r="AJ4" s="10" t="str">
        <f>IFERROR(__xludf.DUMMYFUNCTION("""COMPUTED_VALUE"""),"Brian")</f>
        <v>Brian</v>
      </c>
      <c r="AK4" s="4"/>
      <c r="AL4" s="9" t="str">
        <f>IFERROR(__xludf.DUMMYFUNCTION("""COMPUTED_VALUE"""),"Carolina")</f>
        <v>Carolina</v>
      </c>
      <c r="AM4" s="10" t="str">
        <f>IFERROR(__xludf.DUMMYFUNCTION("""COMPUTED_VALUE"""),"Melissa")</f>
        <v>Melissa</v>
      </c>
      <c r="AN4" s="4"/>
      <c r="AO4" s="10" t="str">
        <f>IFERROR(__xludf.DUMMYFUNCTION("""COMPUTED_VALUE"""),"Andrés")</f>
        <v>Andrés</v>
      </c>
      <c r="AP4" s="4"/>
      <c r="AQ4" s="9" t="str">
        <f>IFERROR(__xludf.DUMMYFUNCTION("""COMPUTED_VALUE"""),"Norman")</f>
        <v>Norman</v>
      </c>
      <c r="AR4" s="2" t="str">
        <f>IFERROR(__xludf.DUMMYFUNCTION("""COMPUTED_VALUE"""),"Sofía")</f>
        <v>Sofía</v>
      </c>
      <c r="AS4" s="2" t="str">
        <f>IFERROR(__xludf.DUMMYFUNCTION("""COMPUTED_VALUE"""),"QQ")</f>
        <v>QQ</v>
      </c>
      <c r="AT4" s="2" t="str">
        <f>IFERROR(__xludf.DUMMYFUNCTION("""COMPUTED_VALUE"""),"Heidy")</f>
        <v>Heidy</v>
      </c>
      <c r="AU4" s="2" t="str">
        <f>IFERROR(__xludf.DUMMYFUNCTION("""COMPUTED_VALUE"""),"Chris")</f>
        <v>Chris</v>
      </c>
      <c r="AV4" s="2" t="str">
        <f>IFERROR(__xludf.DUMMYFUNCTION("""COMPUTED_VALUE"""),"Carolina")</f>
        <v>Carolina</v>
      </c>
      <c r="AW4" s="2" t="str">
        <f>IFERROR(__xludf.DUMMYFUNCTION("""COMPUTED_VALUE"""),"Christine")</f>
        <v>Christine</v>
      </c>
      <c r="AX4" s="6" t="str">
        <f>IFERROR(__xludf.DUMMYFUNCTION("""COMPUTED_VALUE"""),"Jaime")</f>
        <v>Jaime</v>
      </c>
      <c r="AY4" s="6" t="str">
        <f>IFERROR(__xludf.DUMMYFUNCTION("""COMPUTED_VALUE"""),"Erick")</f>
        <v>Erick</v>
      </c>
      <c r="AZ4" s="6" t="str">
        <f>IFERROR(__xludf.DUMMYFUNCTION("""COMPUTED_VALUE"""),"Heidy")</f>
        <v>Heidy</v>
      </c>
      <c r="BA4" s="6" t="str">
        <f>IFERROR(__xludf.DUMMYFUNCTION("""COMPUTED_VALUE"""),"Adriana")</f>
        <v>Adriana</v>
      </c>
      <c r="BB4" s="6" t="str">
        <f>IFERROR(__xludf.DUMMYFUNCTION("""COMPUTED_VALUE"""),"Chris")</f>
        <v>Chris</v>
      </c>
      <c r="BC4" s="6" t="str">
        <f>IFERROR(__xludf.DUMMYFUNCTION("""COMPUTED_VALUE"""),"Carolina")</f>
        <v>Carolina</v>
      </c>
      <c r="BD4" s="6" t="str">
        <f>IFERROR(__xludf.DUMMYFUNCTION("""COMPUTED_VALUE"""),"Rolando")</f>
        <v>Rolando</v>
      </c>
      <c r="BE4" s="6" t="str">
        <f>IFERROR(__xludf.DUMMYFUNCTION("""COMPUTED_VALUE"""),"Christine")</f>
        <v>Christine</v>
      </c>
      <c r="BF4" s="8" t="str">
        <f>IFERROR(__xludf.DUMMYFUNCTION("""COMPUTED_VALUE"""),"Andrés")</f>
        <v>Andrés</v>
      </c>
      <c r="BG4" s="8" t="str">
        <f>IFERROR(__xludf.DUMMYFUNCTION("""COMPUTED_VALUE"""),"Jaime")</f>
        <v>Jaime</v>
      </c>
      <c r="BH4" s="8" t="str">
        <f>IFERROR(__xludf.DUMMYFUNCTION("""COMPUTED_VALUE"""),"Karina")</f>
        <v>Karina</v>
      </c>
      <c r="BI4" s="8" t="str">
        <f>IFERROR(__xludf.DUMMYFUNCTION("""COMPUTED_VALUE"""),"Heidy")</f>
        <v>Heidy</v>
      </c>
      <c r="BJ4" s="8" t="str">
        <f>IFERROR(__xludf.DUMMYFUNCTION("""COMPUTED_VALUE"""),"Éricka")</f>
        <v>Éricka</v>
      </c>
      <c r="BK4" s="8" t="str">
        <f>IFERROR(__xludf.DUMMYFUNCTION("""COMPUTED_VALUE"""),"Chris")</f>
        <v>Chris</v>
      </c>
      <c r="BL4" s="8" t="str">
        <f>IFERROR(__xludf.DUMMYFUNCTION("""COMPUTED_VALUE"""),"Ryan")</f>
        <v>Ryan</v>
      </c>
      <c r="BM4" s="9" t="str">
        <f>IFERROR(__xludf.DUMMYFUNCTION("""COMPUTED_VALUE"""),"Sofía")</f>
        <v>Sofía</v>
      </c>
      <c r="BN4" s="9" t="str">
        <f>IFERROR(__xludf.DUMMYFUNCTION("""COMPUTED_VALUE"""),"QQ")</f>
        <v>QQ</v>
      </c>
      <c r="BO4" s="9" t="str">
        <f>IFERROR(__xludf.DUMMYFUNCTION("""COMPUTED_VALUE"""),"Ana Teresa")</f>
        <v>Ana Teresa</v>
      </c>
      <c r="BP4" s="9" t="str">
        <f>IFERROR(__xludf.DUMMYFUNCTION("""COMPUTED_VALUE"""),"Carolina")</f>
        <v>Carolina</v>
      </c>
      <c r="BQ4" s="9" t="str">
        <f>IFERROR(__xludf.DUMMYFUNCTION("""COMPUTED_VALUE"""),"Chris")</f>
        <v>Chris</v>
      </c>
      <c r="BR4" s="9" t="str">
        <f>IFERROR(__xludf.DUMMYFUNCTION("""COMPUTED_VALUE"""),"Norman")</f>
        <v>Norman</v>
      </c>
      <c r="BS4" s="9" t="str">
        <f>IFERROR(__xludf.DUMMYFUNCTION("""COMPUTED_VALUE"""),"Rolando")</f>
        <v>Rolando</v>
      </c>
    </row>
    <row r="5">
      <c r="A5" s="24" t="str">
        <f>IFERROR(__xludf.DUMMYFUNCTION("""COMPUTED_VALUE"""),"Room")</f>
        <v>Room</v>
      </c>
      <c r="B5" s="2">
        <f>IFERROR(__xludf.DUMMYFUNCTION("""COMPUTED_VALUE"""),16.0)</f>
        <v>16</v>
      </c>
      <c r="C5" s="3">
        <f>IFERROR(__xludf.DUMMYFUNCTION("""COMPUTED_VALUE"""),10.0)</f>
        <v>10</v>
      </c>
      <c r="D5" s="4"/>
      <c r="E5" s="3">
        <f>IFERROR(__xludf.DUMMYFUNCTION("""COMPUTED_VALUE"""),11.0)</f>
        <v>11</v>
      </c>
      <c r="F5" s="4"/>
      <c r="G5" s="3">
        <f>IFERROR(__xludf.DUMMYFUNCTION("""COMPUTED_VALUE"""),9.0)</f>
        <v>9</v>
      </c>
      <c r="H5" s="4"/>
      <c r="I5" s="2">
        <f>IFERROR(__xludf.DUMMYFUNCTION("""COMPUTED_VALUE"""),13.0)</f>
        <v>13</v>
      </c>
      <c r="J5" s="3">
        <f>IFERROR(__xludf.DUMMYFUNCTION("""COMPUTED_VALUE"""),3.0)</f>
        <v>3</v>
      </c>
      <c r="K5" s="4"/>
      <c r="L5" s="5">
        <f>IFERROR(__xludf.DUMMYFUNCTION("""COMPUTED_VALUE"""),18.0)</f>
        <v>18</v>
      </c>
      <c r="M5" s="4"/>
      <c r="N5" s="5">
        <f>IFERROR(__xludf.DUMMYFUNCTION("""COMPUTED_VALUE"""),5.0)</f>
        <v>5</v>
      </c>
      <c r="O5" s="4"/>
      <c r="P5" s="6">
        <f>IFERROR(__xludf.DUMMYFUNCTION("""COMPUTED_VALUE"""),6.0)</f>
        <v>6</v>
      </c>
      <c r="Q5" s="5">
        <f>IFERROR(__xludf.DUMMYFUNCTION("""COMPUTED_VALUE"""),12.0)</f>
        <v>12</v>
      </c>
      <c r="R5" s="4"/>
      <c r="S5" s="5">
        <f>IFERROR(__xludf.DUMMYFUNCTION("""COMPUTED_VALUE"""),2.0)</f>
        <v>2</v>
      </c>
      <c r="T5" s="4"/>
      <c r="U5" s="6">
        <f>IFERROR(__xludf.DUMMYFUNCTION("""COMPUTED_VALUE"""),15.0)</f>
        <v>15</v>
      </c>
      <c r="V5" s="6">
        <f>IFERROR(__xludf.DUMMYFUNCTION("""COMPUTED_VALUE"""),15.0)</f>
        <v>15</v>
      </c>
      <c r="W5" s="6">
        <f>IFERROR(__xludf.DUMMYFUNCTION("""COMPUTED_VALUE"""),14.0)</f>
        <v>14</v>
      </c>
      <c r="X5" s="7">
        <f>IFERROR(__xludf.DUMMYFUNCTION("""COMPUTED_VALUE"""),5.0)</f>
        <v>5</v>
      </c>
      <c r="Y5" s="4"/>
      <c r="Z5" s="7">
        <f>IFERROR(__xludf.DUMMYFUNCTION("""COMPUTED_VALUE"""),4.0)</f>
        <v>4</v>
      </c>
      <c r="AA5" s="4"/>
      <c r="AB5" s="7">
        <f>IFERROR(__xludf.DUMMYFUNCTION("""COMPUTED_VALUE"""),10.0)</f>
        <v>10</v>
      </c>
      <c r="AC5" s="4"/>
      <c r="AD5" s="8">
        <f>IFERROR(__xludf.DUMMYFUNCTION("""COMPUTED_VALUE"""),15.0)</f>
        <v>15</v>
      </c>
      <c r="AE5" s="8">
        <f>IFERROR(__xludf.DUMMYFUNCTION("""COMPUTED_VALUE"""),14.0)</f>
        <v>14</v>
      </c>
      <c r="AF5" s="23">
        <f>IFERROR(__xludf.DUMMYFUNCTION("""COMPUTED_VALUE"""),1.0)</f>
        <v>1</v>
      </c>
      <c r="AG5" s="9">
        <f>IFERROR(__xludf.DUMMYFUNCTION("""COMPUTED_VALUE"""),16.0)</f>
        <v>16</v>
      </c>
      <c r="AH5" s="10">
        <f>IFERROR(__xludf.DUMMYFUNCTION("""COMPUTED_VALUE"""),12.0)</f>
        <v>12</v>
      </c>
      <c r="AI5" s="4"/>
      <c r="AJ5" s="10">
        <f>IFERROR(__xludf.DUMMYFUNCTION("""COMPUTED_VALUE"""),9.0)</f>
        <v>9</v>
      </c>
      <c r="AK5" s="4"/>
      <c r="AL5" s="9">
        <f>IFERROR(__xludf.DUMMYFUNCTION("""COMPUTED_VALUE"""),7.0)</f>
        <v>7</v>
      </c>
      <c r="AM5" s="10">
        <f>IFERROR(__xludf.DUMMYFUNCTION("""COMPUTED_VALUE"""),3.0)</f>
        <v>3</v>
      </c>
      <c r="AN5" s="4"/>
      <c r="AO5" s="10">
        <f>IFERROR(__xludf.DUMMYFUNCTION("""COMPUTED_VALUE"""),1.0)</f>
        <v>1</v>
      </c>
      <c r="AP5" s="4"/>
      <c r="AQ5" s="9">
        <f>IFERROR(__xludf.DUMMYFUNCTION("""COMPUTED_VALUE"""),11.0)</f>
        <v>11</v>
      </c>
      <c r="AR5" s="2">
        <f>IFERROR(__xludf.DUMMYFUNCTION("""COMPUTED_VALUE"""),17.0)</f>
        <v>17</v>
      </c>
      <c r="AS5" s="2">
        <f>IFERROR(__xludf.DUMMYFUNCTION("""COMPUTED_VALUE"""),4.0)</f>
        <v>4</v>
      </c>
      <c r="AT5" s="2">
        <f>IFERROR(__xludf.DUMMYFUNCTION("""COMPUTED_VALUE"""),9.0)</f>
        <v>9</v>
      </c>
      <c r="AU5" s="2">
        <f>IFERROR(__xludf.DUMMYFUNCTION("""COMPUTED_VALUE"""),8.0)</f>
        <v>8</v>
      </c>
      <c r="AV5" s="2">
        <f>IFERROR(__xludf.DUMMYFUNCTION("""COMPUTED_VALUE"""),7.0)</f>
        <v>7</v>
      </c>
      <c r="AW5" s="2">
        <f>IFERROR(__xludf.DUMMYFUNCTION("""COMPUTED_VALUE"""),17.0)</f>
        <v>17</v>
      </c>
      <c r="AX5" s="6">
        <f>IFERROR(__xludf.DUMMYFUNCTION("""COMPUTED_VALUE"""),18.0)</f>
        <v>18</v>
      </c>
      <c r="AY5" s="6">
        <f>IFERROR(__xludf.DUMMYFUNCTION("""COMPUTED_VALUE"""),14.0)</f>
        <v>14</v>
      </c>
      <c r="AZ5" s="6">
        <f>IFERROR(__xludf.DUMMYFUNCTION("""COMPUTED_VALUE"""),9.0)</f>
        <v>9</v>
      </c>
      <c r="BA5" s="6">
        <f>IFERROR(__xludf.DUMMYFUNCTION("""COMPUTED_VALUE"""),15.0)</f>
        <v>15</v>
      </c>
      <c r="BB5" s="6">
        <f>IFERROR(__xludf.DUMMYFUNCTION("""COMPUTED_VALUE"""),8.0)</f>
        <v>8</v>
      </c>
      <c r="BC5" s="6">
        <f>IFERROR(__xludf.DUMMYFUNCTION("""COMPUTED_VALUE"""),7.0)</f>
        <v>7</v>
      </c>
      <c r="BD5" s="6">
        <f>IFERROR(__xludf.DUMMYFUNCTION("""COMPUTED_VALUE"""),5.0)</f>
        <v>5</v>
      </c>
      <c r="BE5" s="6">
        <f>IFERROR(__xludf.DUMMYFUNCTION("""COMPUTED_VALUE"""),17.0)</f>
        <v>17</v>
      </c>
      <c r="BF5" s="8">
        <f>IFERROR(__xludf.DUMMYFUNCTION("""COMPUTED_VALUE"""),1.0)</f>
        <v>1</v>
      </c>
      <c r="BG5" s="8">
        <f>IFERROR(__xludf.DUMMYFUNCTION("""COMPUTED_VALUE"""),16.0)</f>
        <v>16</v>
      </c>
      <c r="BH5" s="8">
        <f>IFERROR(__xludf.DUMMYFUNCTION("""COMPUTED_VALUE"""),13.0)</f>
        <v>13</v>
      </c>
      <c r="BI5" s="8">
        <f>IFERROR(__xludf.DUMMYFUNCTION("""COMPUTED_VALUE"""),9.0)</f>
        <v>9</v>
      </c>
      <c r="BJ5" s="8">
        <f>IFERROR(__xludf.DUMMYFUNCTION("""COMPUTED_VALUE"""),12.0)</f>
        <v>12</v>
      </c>
      <c r="BK5" s="8">
        <f>IFERROR(__xludf.DUMMYFUNCTION("""COMPUTED_VALUE"""),8.0)</f>
        <v>8</v>
      </c>
      <c r="BL5" s="8">
        <f>IFERROR(__xludf.DUMMYFUNCTION("""COMPUTED_VALUE"""),17.0)</f>
        <v>17</v>
      </c>
      <c r="BM5" s="9">
        <f>IFERROR(__xludf.DUMMYFUNCTION("""COMPUTED_VALUE"""),17.0)</f>
        <v>17</v>
      </c>
      <c r="BN5" s="9">
        <f>IFERROR(__xludf.DUMMYFUNCTION("""COMPUTED_VALUE"""),4.0)</f>
        <v>4</v>
      </c>
      <c r="BO5" s="9">
        <f>IFERROR(__xludf.DUMMYFUNCTION("""COMPUTED_VALUE"""),6.0)</f>
        <v>6</v>
      </c>
      <c r="BP5" s="9">
        <f>IFERROR(__xludf.DUMMYFUNCTION("""COMPUTED_VALUE"""),7.0)</f>
        <v>7</v>
      </c>
      <c r="BQ5" s="9">
        <f>IFERROR(__xludf.DUMMYFUNCTION("""COMPUTED_VALUE"""),8.0)</f>
        <v>8</v>
      </c>
      <c r="BR5" s="9">
        <f>IFERROR(__xludf.DUMMYFUNCTION("""COMPUTED_VALUE"""),11.0)</f>
        <v>11</v>
      </c>
      <c r="BS5" s="9">
        <f>IFERROR(__xludf.DUMMYFUNCTION("""COMPUTED_VALUE"""),5.0)</f>
        <v>5</v>
      </c>
    </row>
    <row r="6">
      <c r="A6" s="24" t="str">
        <f>IFERROR(__xludf.DUMMYFUNCTION("""COMPUTED_VALUE"""),"No. per lev")</f>
        <v>No. per lev</v>
      </c>
      <c r="B6" s="2">
        <f>IFERROR(__xludf.DUMMYFUNCTION("""COMPUTED_VALUE"""),13.0)</f>
        <v>13</v>
      </c>
      <c r="C6" s="2">
        <f>IFERROR(__xludf.DUMMYFUNCTION("""COMPUTED_VALUE"""),17.0)</f>
        <v>17</v>
      </c>
      <c r="D6" s="2">
        <f>IFERROR(__xludf.DUMMYFUNCTION("""COMPUTED_VALUE"""),3.0)</f>
        <v>3</v>
      </c>
      <c r="E6" s="2">
        <f>IFERROR(__xludf.DUMMYFUNCTION("""COMPUTED_VALUE"""),5.0)</f>
        <v>5</v>
      </c>
      <c r="F6" s="2">
        <f>IFERROR(__xludf.DUMMYFUNCTION("""COMPUTED_VALUE"""),0.0)</f>
        <v>0</v>
      </c>
      <c r="G6" s="2">
        <f>IFERROR(__xludf.DUMMYFUNCTION("""COMPUTED_VALUE"""),19.0)</f>
        <v>19</v>
      </c>
      <c r="H6" s="2">
        <f>IFERROR(__xludf.DUMMYFUNCTION("""COMPUTED_VALUE"""),0.0)</f>
        <v>0</v>
      </c>
      <c r="I6" s="2">
        <f>IFERROR(__xludf.DUMMYFUNCTION("""COMPUTED_VALUE"""),11.0)</f>
        <v>11</v>
      </c>
      <c r="J6" s="2">
        <f>IFERROR(__xludf.DUMMYFUNCTION("""COMPUTED_VALUE"""),8.0)</f>
        <v>8</v>
      </c>
      <c r="K6" s="2">
        <f>IFERROR(__xludf.DUMMYFUNCTION("""COMPUTED_VALUE"""),2.0)</f>
        <v>2</v>
      </c>
      <c r="L6" s="6">
        <f>IFERROR(__xludf.DUMMYFUNCTION("""COMPUTED_VALUE"""),8.0)</f>
        <v>8</v>
      </c>
      <c r="M6" s="6">
        <f>IFERROR(__xludf.DUMMYFUNCTION("""COMPUTED_VALUE"""),1.0)</f>
        <v>1</v>
      </c>
      <c r="N6" s="6">
        <f>IFERROR(__xludf.DUMMYFUNCTION("""COMPUTED_VALUE"""),12.0)</f>
        <v>12</v>
      </c>
      <c r="O6" s="6">
        <f>IFERROR(__xludf.DUMMYFUNCTION("""COMPUTED_VALUE"""),2.0)</f>
        <v>2</v>
      </c>
      <c r="P6" s="6">
        <f>IFERROR(__xludf.DUMMYFUNCTION("""COMPUTED_VALUE"""),10.0)</f>
        <v>10</v>
      </c>
      <c r="Q6" s="6">
        <f>IFERROR(__xludf.DUMMYFUNCTION("""COMPUTED_VALUE"""),9.0)</f>
        <v>9</v>
      </c>
      <c r="R6" s="6">
        <f>IFERROR(__xludf.DUMMYFUNCTION("""COMPUTED_VALUE"""),1.0)</f>
        <v>1</v>
      </c>
      <c r="S6" s="6">
        <f>IFERROR(__xludf.DUMMYFUNCTION("""COMPUTED_VALUE"""),15.0)</f>
        <v>15</v>
      </c>
      <c r="T6" s="6">
        <f>IFERROR(__xludf.DUMMYFUNCTION("""COMPUTED_VALUE"""),1.0)</f>
        <v>1</v>
      </c>
      <c r="U6" s="6">
        <f>IFERROR(__xludf.DUMMYFUNCTION("""COMPUTED_VALUE"""),9.0)</f>
        <v>9</v>
      </c>
      <c r="V6" s="6">
        <f>IFERROR(__xludf.DUMMYFUNCTION("""COMPUTED_VALUE"""),1.0)</f>
        <v>1</v>
      </c>
      <c r="W6" s="6">
        <f>IFERROR(__xludf.DUMMYFUNCTION("""COMPUTED_VALUE"""),20.0)</f>
        <v>20</v>
      </c>
      <c r="X6" s="8">
        <f>IFERROR(__xludf.DUMMYFUNCTION("""COMPUTED_VALUE"""),10.0)</f>
        <v>10</v>
      </c>
      <c r="Y6" s="8">
        <f>IFERROR(__xludf.DUMMYFUNCTION("""COMPUTED_VALUE"""),4.0)</f>
        <v>4</v>
      </c>
      <c r="Z6" s="8">
        <f>IFERROR(__xludf.DUMMYFUNCTION("""COMPUTED_VALUE"""),15.0)</f>
        <v>15</v>
      </c>
      <c r="AA6" s="8">
        <f>IFERROR(__xludf.DUMMYFUNCTION("""COMPUTED_VALUE"""),3.0)</f>
        <v>3</v>
      </c>
      <c r="AB6" s="8">
        <f>IFERROR(__xludf.DUMMYFUNCTION("""COMPUTED_VALUE"""),16.0)</f>
        <v>16</v>
      </c>
      <c r="AC6" s="8">
        <f>IFERROR(__xludf.DUMMYFUNCTION("""COMPUTED_VALUE"""),2.0)</f>
        <v>2</v>
      </c>
      <c r="AD6" s="8">
        <f>IFERROR(__xludf.DUMMYFUNCTION("""COMPUTED_VALUE"""),11.0)</f>
        <v>11</v>
      </c>
      <c r="AE6" s="8">
        <f>IFERROR(__xludf.DUMMYFUNCTION("""COMPUTED_VALUE"""),13.0)</f>
        <v>13</v>
      </c>
      <c r="AF6" s="23">
        <f>IFERROR(__xludf.DUMMYFUNCTION("""COMPUTED_VALUE"""),11.0)</f>
        <v>11</v>
      </c>
      <c r="AG6" s="9">
        <f>IFERROR(__xludf.DUMMYFUNCTION("""COMPUTED_VALUE"""),9.0)</f>
        <v>9</v>
      </c>
      <c r="AH6" s="9">
        <f>IFERROR(__xludf.DUMMYFUNCTION("""COMPUTED_VALUE"""),15.0)</f>
        <v>15</v>
      </c>
      <c r="AI6" s="9">
        <f>IFERROR(__xludf.DUMMYFUNCTION("""COMPUTED_VALUE"""),3.0)</f>
        <v>3</v>
      </c>
      <c r="AJ6" s="9">
        <f>IFERROR(__xludf.DUMMYFUNCTION("""COMPUTED_VALUE"""),13.0)</f>
        <v>13</v>
      </c>
      <c r="AK6" s="9">
        <f>IFERROR(__xludf.DUMMYFUNCTION("""COMPUTED_VALUE"""),2.0)</f>
        <v>2</v>
      </c>
      <c r="AL6" s="9">
        <f>IFERROR(__xludf.DUMMYFUNCTION("""COMPUTED_VALUE"""),16.0)</f>
        <v>16</v>
      </c>
      <c r="AM6" s="9">
        <f>IFERROR(__xludf.DUMMYFUNCTION("""COMPUTED_VALUE"""),7.0)</f>
        <v>7</v>
      </c>
      <c r="AN6" s="9">
        <f>IFERROR(__xludf.DUMMYFUNCTION("""COMPUTED_VALUE"""),1.0)</f>
        <v>1</v>
      </c>
      <c r="AO6" s="9">
        <f>IFERROR(__xludf.DUMMYFUNCTION("""COMPUTED_VALUE"""),7.0)</f>
        <v>7</v>
      </c>
      <c r="AP6" s="9">
        <f>IFERROR(__xludf.DUMMYFUNCTION("""COMPUTED_VALUE"""),0.0)</f>
        <v>0</v>
      </c>
      <c r="AQ6" s="9">
        <f>IFERROR(__xludf.DUMMYFUNCTION("""COMPUTED_VALUE"""),4.0)</f>
        <v>4</v>
      </c>
      <c r="AR6" s="2">
        <f>IFERROR(__xludf.DUMMYFUNCTION("""COMPUTED_VALUE"""),15.0)</f>
        <v>15</v>
      </c>
      <c r="AS6" s="2">
        <f>IFERROR(__xludf.DUMMYFUNCTION("""COMPUTED_VALUE"""),11.0)</f>
        <v>11</v>
      </c>
      <c r="AT6" s="2">
        <f>IFERROR(__xludf.DUMMYFUNCTION("""COMPUTED_VALUE"""),8.0)</f>
        <v>8</v>
      </c>
      <c r="AU6" s="2">
        <f>IFERROR(__xludf.DUMMYFUNCTION("""COMPUTED_VALUE"""),19.0)</f>
        <v>19</v>
      </c>
      <c r="AV6" s="2">
        <f>IFERROR(__xludf.DUMMYFUNCTION("""COMPUTED_VALUE"""),7.0)</f>
        <v>7</v>
      </c>
      <c r="AW6" s="2">
        <f>IFERROR(__xludf.DUMMYFUNCTION("""COMPUTED_VALUE"""),20.0)</f>
        <v>20</v>
      </c>
      <c r="AX6" s="6">
        <f>IFERROR(__xludf.DUMMYFUNCTION("""COMPUTED_VALUE"""),10.0)</f>
        <v>10</v>
      </c>
      <c r="AY6" s="6">
        <f>IFERROR(__xludf.DUMMYFUNCTION("""COMPUTED_VALUE"""),6.0)</f>
        <v>6</v>
      </c>
      <c r="AZ6" s="6">
        <f>IFERROR(__xludf.DUMMYFUNCTION("""COMPUTED_VALUE"""),13.0)</f>
        <v>13</v>
      </c>
      <c r="BA6" s="6">
        <f>IFERROR(__xludf.DUMMYFUNCTION("""COMPUTED_VALUE"""),9.0)</f>
        <v>9</v>
      </c>
      <c r="BB6" s="6">
        <f>IFERROR(__xludf.DUMMYFUNCTION("""COMPUTED_VALUE"""),13.0)</f>
        <v>13</v>
      </c>
      <c r="BC6" s="6">
        <f>IFERROR(__xludf.DUMMYFUNCTION("""COMPUTED_VALUE"""),12.0)</f>
        <v>12</v>
      </c>
      <c r="BD6" s="6">
        <f>IFERROR(__xludf.DUMMYFUNCTION("""COMPUTED_VALUE"""),8.0)</f>
        <v>8</v>
      </c>
      <c r="BE6" s="6">
        <f>IFERROR(__xludf.DUMMYFUNCTION("""COMPUTED_VALUE"""),17.0)</f>
        <v>17</v>
      </c>
      <c r="BF6" s="8">
        <f>IFERROR(__xludf.DUMMYFUNCTION("""COMPUTED_VALUE"""),10.0)</f>
        <v>10</v>
      </c>
      <c r="BG6" s="8">
        <f>IFERROR(__xludf.DUMMYFUNCTION("""COMPUTED_VALUE"""),10.0)</f>
        <v>10</v>
      </c>
      <c r="BH6" s="8">
        <f>IFERROR(__xludf.DUMMYFUNCTION("""COMPUTED_VALUE"""),8.0)</f>
        <v>8</v>
      </c>
      <c r="BI6" s="8">
        <f>IFERROR(__xludf.DUMMYFUNCTION("""COMPUTED_VALUE"""),16.0)</f>
        <v>16</v>
      </c>
      <c r="BJ6" s="8">
        <f>IFERROR(__xludf.DUMMYFUNCTION("""COMPUTED_VALUE"""),16.0)</f>
        <v>16</v>
      </c>
      <c r="BK6" s="8">
        <f>IFERROR(__xludf.DUMMYFUNCTION("""COMPUTED_VALUE"""),10.0)</f>
        <v>10</v>
      </c>
      <c r="BL6" s="8">
        <f>IFERROR(__xludf.DUMMYFUNCTION("""COMPUTED_VALUE"""),20.0)</f>
        <v>20</v>
      </c>
      <c r="BM6" s="9">
        <f>IFERROR(__xludf.DUMMYFUNCTION("""COMPUTED_VALUE"""),10.0)</f>
        <v>10</v>
      </c>
      <c r="BN6" s="9">
        <f>IFERROR(__xludf.DUMMYFUNCTION("""COMPUTED_VALUE"""),12.0)</f>
        <v>12</v>
      </c>
      <c r="BO6" s="9">
        <f>IFERROR(__xludf.DUMMYFUNCTION("""COMPUTED_VALUE"""),16.0)</f>
        <v>16</v>
      </c>
      <c r="BP6" s="9">
        <f>IFERROR(__xludf.DUMMYFUNCTION("""COMPUTED_VALUE"""),4.0)</f>
        <v>4</v>
      </c>
      <c r="BQ6" s="9">
        <f>IFERROR(__xludf.DUMMYFUNCTION("""COMPUTED_VALUE"""),11.0)</f>
        <v>11</v>
      </c>
      <c r="BR6" s="9">
        <f>IFERROR(__xludf.DUMMYFUNCTION("""COMPUTED_VALUE"""),14.0)</f>
        <v>14</v>
      </c>
      <c r="BS6" s="9">
        <f>IFERROR(__xludf.DUMMYFUNCTION("""COMPUTED_VALUE"""),22.0)</f>
        <v>22</v>
      </c>
    </row>
    <row r="7">
      <c r="A7" s="24" t="str">
        <f>IFERROR(__xludf.DUMMYFUNCTION("""COMPUTED_VALUE"""),"Total no. per class (cap = 18)")</f>
        <v>Total no. per class (cap = 18)</v>
      </c>
      <c r="B7" s="2">
        <f>IFERROR(__xludf.DUMMYFUNCTION("""COMPUTED_VALUE"""),13.0)</f>
        <v>13</v>
      </c>
      <c r="C7" s="25">
        <f>IFERROR(__xludf.DUMMYFUNCTION("""COMPUTED_VALUE"""),20.0)</f>
        <v>20</v>
      </c>
      <c r="D7" s="4"/>
      <c r="E7" s="3">
        <f>IFERROR(__xludf.DUMMYFUNCTION("""COMPUTED_VALUE"""),5.0)</f>
        <v>5</v>
      </c>
      <c r="F7" s="4"/>
      <c r="G7" s="25">
        <f>IFERROR(__xludf.DUMMYFUNCTION("""COMPUTED_VALUE"""),19.0)</f>
        <v>19</v>
      </c>
      <c r="H7" s="4"/>
      <c r="I7" s="2">
        <f>IFERROR(__xludf.DUMMYFUNCTION("""COMPUTED_VALUE"""),11.0)</f>
        <v>11</v>
      </c>
      <c r="J7" s="3">
        <f>IFERROR(__xludf.DUMMYFUNCTION("""COMPUTED_VALUE"""),10.0)</f>
        <v>10</v>
      </c>
      <c r="K7" s="4"/>
      <c r="L7" s="5">
        <f>IFERROR(__xludf.DUMMYFUNCTION("""COMPUTED_VALUE"""),9.0)</f>
        <v>9</v>
      </c>
      <c r="M7" s="4"/>
      <c r="N7" s="5">
        <f>IFERROR(__xludf.DUMMYFUNCTION("""COMPUTED_VALUE"""),14.0)</f>
        <v>14</v>
      </c>
      <c r="O7" s="4"/>
      <c r="P7" s="6">
        <f>IFERROR(__xludf.DUMMYFUNCTION("""COMPUTED_VALUE"""),10.0)</f>
        <v>10</v>
      </c>
      <c r="Q7" s="5">
        <f>IFERROR(__xludf.DUMMYFUNCTION("""COMPUTED_VALUE"""),10.0)</f>
        <v>10</v>
      </c>
      <c r="R7" s="4"/>
      <c r="S7" s="5">
        <f>IFERROR(__xludf.DUMMYFUNCTION("""COMPUTED_VALUE"""),16.0)</f>
        <v>16</v>
      </c>
      <c r="T7" s="4"/>
      <c r="U7" s="6">
        <f>IFERROR(__xludf.DUMMYFUNCTION("""COMPUTED_VALUE"""),9.0)</f>
        <v>9</v>
      </c>
      <c r="V7" s="6">
        <f>IFERROR(__xludf.DUMMYFUNCTION("""COMPUTED_VALUE"""),1.0)</f>
        <v>1</v>
      </c>
      <c r="W7" s="26">
        <f>IFERROR(__xludf.DUMMYFUNCTION("""COMPUTED_VALUE"""),20.0)</f>
        <v>20</v>
      </c>
      <c r="X7" s="7">
        <f>IFERROR(__xludf.DUMMYFUNCTION("""COMPUTED_VALUE"""),14.0)</f>
        <v>14</v>
      </c>
      <c r="Y7" s="4"/>
      <c r="Z7" s="25">
        <f>IFERROR(__xludf.DUMMYFUNCTION("""COMPUTED_VALUE"""),18.0)</f>
        <v>18</v>
      </c>
      <c r="AA7" s="4"/>
      <c r="AB7" s="7">
        <f>IFERROR(__xludf.DUMMYFUNCTION("""COMPUTED_VALUE"""),18.0)</f>
        <v>18</v>
      </c>
      <c r="AC7" s="4"/>
      <c r="AD7" s="8">
        <f>IFERROR(__xludf.DUMMYFUNCTION("""COMPUTED_VALUE"""),11.0)</f>
        <v>11</v>
      </c>
      <c r="AE7" s="8">
        <f>IFERROR(__xludf.DUMMYFUNCTION("""COMPUTED_VALUE"""),13.0)</f>
        <v>13</v>
      </c>
      <c r="AF7" s="23">
        <f>IFERROR(__xludf.DUMMYFUNCTION("""COMPUTED_VALUE"""),11.0)</f>
        <v>11</v>
      </c>
      <c r="AG7" s="9">
        <f>IFERROR(__xludf.DUMMYFUNCTION("""COMPUTED_VALUE"""),9.0)</f>
        <v>9</v>
      </c>
      <c r="AH7" s="10">
        <f>IFERROR(__xludf.DUMMYFUNCTION("""COMPUTED_VALUE"""),18.0)</f>
        <v>18</v>
      </c>
      <c r="AI7" s="4"/>
      <c r="AJ7" s="10">
        <f>IFERROR(__xludf.DUMMYFUNCTION("""COMPUTED_VALUE"""),15.0)</f>
        <v>15</v>
      </c>
      <c r="AK7" s="4"/>
      <c r="AL7" s="9">
        <f>IFERROR(__xludf.DUMMYFUNCTION("""COMPUTED_VALUE"""),16.0)</f>
        <v>16</v>
      </c>
      <c r="AM7" s="10">
        <f>IFERROR(__xludf.DUMMYFUNCTION("""COMPUTED_VALUE"""),8.0)</f>
        <v>8</v>
      </c>
      <c r="AN7" s="4"/>
      <c r="AO7" s="10">
        <f>IFERROR(__xludf.DUMMYFUNCTION("""COMPUTED_VALUE"""),7.0)</f>
        <v>7</v>
      </c>
      <c r="AP7" s="4"/>
      <c r="AQ7" s="9">
        <f>IFERROR(__xludf.DUMMYFUNCTION("""COMPUTED_VALUE"""),4.0)</f>
        <v>4</v>
      </c>
      <c r="AR7" s="2">
        <f>IFERROR(__xludf.DUMMYFUNCTION("""COMPUTED_VALUE"""),15.0)</f>
        <v>15</v>
      </c>
      <c r="AS7" s="2">
        <f>IFERROR(__xludf.DUMMYFUNCTION("""COMPUTED_VALUE"""),11.0)</f>
        <v>11</v>
      </c>
      <c r="AT7" s="2">
        <f>IFERROR(__xludf.DUMMYFUNCTION("""COMPUTED_VALUE"""),8.0)</f>
        <v>8</v>
      </c>
      <c r="AU7" s="2">
        <f>IFERROR(__xludf.DUMMYFUNCTION("""COMPUTED_VALUE"""),17.0)</f>
        <v>17</v>
      </c>
      <c r="AV7" s="2">
        <f>IFERROR(__xludf.DUMMYFUNCTION("""COMPUTED_VALUE"""),7.0)</f>
        <v>7</v>
      </c>
      <c r="AW7" s="26">
        <f>IFERROR(__xludf.DUMMYFUNCTION("""COMPUTED_VALUE"""),20.0)</f>
        <v>20</v>
      </c>
      <c r="AX7" s="6">
        <f>IFERROR(__xludf.DUMMYFUNCTION("""COMPUTED_VALUE"""),10.0)</f>
        <v>10</v>
      </c>
      <c r="AY7" s="6">
        <f>IFERROR(__xludf.DUMMYFUNCTION("""COMPUTED_VALUE"""),6.0)</f>
        <v>6</v>
      </c>
      <c r="AZ7" s="6">
        <f>IFERROR(__xludf.DUMMYFUNCTION("""COMPUTED_VALUE"""),13.0)</f>
        <v>13</v>
      </c>
      <c r="BA7" s="6">
        <f>IFERROR(__xludf.DUMMYFUNCTION("""COMPUTED_VALUE"""),9.0)</f>
        <v>9</v>
      </c>
      <c r="BB7" s="6">
        <f>IFERROR(__xludf.DUMMYFUNCTION("""COMPUTED_VALUE"""),13.0)</f>
        <v>13</v>
      </c>
      <c r="BC7" s="6">
        <f>IFERROR(__xludf.DUMMYFUNCTION("""COMPUTED_VALUE"""),12.0)</f>
        <v>12</v>
      </c>
      <c r="BD7" s="6">
        <f>IFERROR(__xludf.DUMMYFUNCTION("""COMPUTED_VALUE"""),8.0)</f>
        <v>8</v>
      </c>
      <c r="BE7" s="6">
        <f>IFERROR(__xludf.DUMMYFUNCTION("""COMPUTED_VALUE"""),17.0)</f>
        <v>17</v>
      </c>
      <c r="BF7" s="8">
        <f>IFERROR(__xludf.DUMMYFUNCTION("""COMPUTED_VALUE"""),10.0)</f>
        <v>10</v>
      </c>
      <c r="BG7" s="8">
        <f>IFERROR(__xludf.DUMMYFUNCTION("""COMPUTED_VALUE"""),10.0)</f>
        <v>10</v>
      </c>
      <c r="BH7" s="8">
        <f>IFERROR(__xludf.DUMMYFUNCTION("""COMPUTED_VALUE"""),8.0)</f>
        <v>8</v>
      </c>
      <c r="BI7" s="8">
        <f>IFERROR(__xludf.DUMMYFUNCTION("""COMPUTED_VALUE"""),16.0)</f>
        <v>16</v>
      </c>
      <c r="BJ7" s="8">
        <f>IFERROR(__xludf.DUMMYFUNCTION("""COMPUTED_VALUE"""),16.0)</f>
        <v>16</v>
      </c>
      <c r="BK7" s="8">
        <f>IFERROR(__xludf.DUMMYFUNCTION("""COMPUTED_VALUE"""),10.0)</f>
        <v>10</v>
      </c>
      <c r="BL7" s="26">
        <f>IFERROR(__xludf.DUMMYFUNCTION("""COMPUTED_VALUE"""),20.0)</f>
        <v>20</v>
      </c>
      <c r="BM7" s="9">
        <f>IFERROR(__xludf.DUMMYFUNCTION("""COMPUTED_VALUE"""),10.0)</f>
        <v>10</v>
      </c>
      <c r="BN7" s="9">
        <f>IFERROR(__xludf.DUMMYFUNCTION("""COMPUTED_VALUE"""),12.0)</f>
        <v>12</v>
      </c>
      <c r="BO7" s="9">
        <f>IFERROR(__xludf.DUMMYFUNCTION("""COMPUTED_VALUE"""),16.0)</f>
        <v>16</v>
      </c>
      <c r="BP7" s="9">
        <f>IFERROR(__xludf.DUMMYFUNCTION("""COMPUTED_VALUE"""),4.0)</f>
        <v>4</v>
      </c>
      <c r="BQ7" s="9">
        <f>IFERROR(__xludf.DUMMYFUNCTION("""COMPUTED_VALUE"""),11.0)</f>
        <v>11</v>
      </c>
      <c r="BR7" s="9">
        <f>IFERROR(__xludf.DUMMYFUNCTION("""COMPUTED_VALUE"""),14.0)</f>
        <v>14</v>
      </c>
      <c r="BS7" s="26">
        <f>IFERROR(__xludf.DUMMYFUNCTION("""COMPUTED_VALUE"""),22.0)</f>
        <v>22</v>
      </c>
    </row>
    <row r="8">
      <c r="A8" s="27">
        <f>IFERROR(__xludf.DUMMYFUNCTION("""COMPUTED_VALUE"""),1.0)</f>
        <v>1</v>
      </c>
      <c r="B8" s="28" t="str">
        <f>IFERROR(__xludf.DUMMYFUNCTION("""COMPUTED_VALUE"""),"Sofia        Tomasikova")</f>
        <v>Sofia        Tomasikova</v>
      </c>
      <c r="C8" s="29" t="str">
        <f>IFERROR(__xludf.DUMMYFUNCTION("""COMPUTED_VALUE"""),"Daniel Alejandro ")</f>
        <v>Daniel Alejandro </v>
      </c>
      <c r="D8" s="30"/>
      <c r="E8" s="31" t="str">
        <f>IFERROR(__xludf.DUMMYFUNCTION("""COMPUTED_VALUE"""),"Alina Araya Hernández")</f>
        <v>Alina Araya Hernández</v>
      </c>
      <c r="F8" s="32"/>
      <c r="G8" s="31" t="str">
        <f>IFERROR(__xludf.DUMMYFUNCTION("""COMPUTED_VALUE"""),"Aarush Kumar")</f>
        <v>Aarush Kumar</v>
      </c>
      <c r="H8" s="33"/>
      <c r="I8" s="31" t="str">
        <f>IFERROR(__xludf.DUMMYFUNCTION("""COMPUTED_VALUE"""),"Ana Lorena Alonzo")</f>
        <v>Ana Lorena Alonzo</v>
      </c>
      <c r="J8" s="31" t="str">
        <f>IFERROR(__xludf.DUMMYFUNCTION("""COMPUTED_VALUE"""),"Aileen Marcela López Díaz")</f>
        <v>Aileen Marcela López Díaz</v>
      </c>
      <c r="K8" s="31" t="str">
        <f>IFERROR(__xludf.DUMMYFUNCTION("""COMPUTED_VALUE"""),"Catharina Johanna Mitzi Helena Keller-With")</f>
        <v>Catharina Johanna Mitzi Helena Keller-With</v>
      </c>
      <c r="L8" s="34" t="str">
        <f>IFERROR(__xludf.DUMMYFUNCTION("""COMPUTED_VALUE"""),"Aarush Kumar")</f>
        <v>Aarush Kumar</v>
      </c>
      <c r="M8" s="34" t="str">
        <f>IFERROR(__xludf.DUMMYFUNCTION("""COMPUTED_VALUE"""),"Laora	Servant")</f>
        <v>Laora	Servant</v>
      </c>
      <c r="N8" s="34" t="str">
        <f>IFERROR(__xludf.DUMMYFUNCTION("""COMPUTED_VALUE"""),"Aileen Marcela López Díaz")</f>
        <v>Aileen Marcela López Díaz</v>
      </c>
      <c r="O8" s="34" t="str">
        <f>IFERROR(__xludf.DUMMYFUNCTION("""COMPUTED_VALUE"""),"Daniel Alejandro	Aparicio Canales")</f>
        <v>Daniel Alejandro	Aparicio Canales</v>
      </c>
      <c r="P8" s="34" t="str">
        <f>IFERROR(__xludf.DUMMYFUNCTION("""COMPUTED_VALUE"""),"Amaya Ridaura Meierwisch")</f>
        <v>Amaya Ridaura Meierwisch</v>
      </c>
      <c r="Q8" s="34" t="str">
        <f>IFERROR(__xludf.DUMMYFUNCTION("""COMPUTED_VALUE"""),"Anya Opal")</f>
        <v>Anya Opal</v>
      </c>
      <c r="R8" s="34" t="str">
        <f>IFERROR(__xludf.DUMMYFUNCTION("""COMPUTED_VALUE"""),"Jessica Lee	Hayduk")</f>
        <v>Jessica Lee	Hayduk</v>
      </c>
      <c r="S8" s="34" t="str">
        <f>IFERROR(__xludf.DUMMYFUNCTION("""COMPUTED_VALUE"""),"Chieh-Ni (Janice) Yang")</f>
        <v>Chieh-Ni (Janice) Yang</v>
      </c>
      <c r="T8" s="35"/>
      <c r="U8" s="34" t="str">
        <f>IFERROR(__xludf.DUMMYFUNCTION("""COMPUTED_VALUE"""),"Agne Mečkovskytė")</f>
        <v>Agne Mečkovskytė</v>
      </c>
      <c r="V8" s="35"/>
      <c r="W8" s="34" t="str">
        <f>IFERROR(__xludf.DUMMYFUNCTION("""COMPUTED_VALUE"""),"Alejandro Daniel Portillo Cabral")</f>
        <v>Alejandro Daniel Portillo Cabral</v>
      </c>
      <c r="X8" s="36" t="str">
        <f>IFERROR(__xludf.DUMMYFUNCTION("""COMPUTED_VALUE"""),"Ana Lorena	Alonzo")</f>
        <v>Ana Lorena	Alonzo</v>
      </c>
      <c r="Y8" s="36" t="str">
        <f>IFERROR(__xludf.DUMMYFUNCTION("""COMPUTED_VALUE"""),"Wenqing	LIANG")</f>
        <v>Wenqing	LIANG</v>
      </c>
      <c r="Z8" s="36" t="str">
        <f>IFERROR(__xludf.DUMMYFUNCTION("""COMPUTED_VALUE"""),"Aileen Marcela López Díaz")</f>
        <v>Aileen Marcela López Díaz</v>
      </c>
      <c r="AA8" s="36" t="str">
        <f>IFERROR(__xludf.DUMMYFUNCTION("""COMPUTED_VALUE"""),"Aunati	Kumar")</f>
        <v>Aunati	Kumar</v>
      </c>
      <c r="AB8" s="37" t="str">
        <f>IFERROR(__xludf.DUMMYFUNCTION("""COMPUTED_VALUE"""),"Salomé d'Aboville")</f>
        <v>Salomé d'Aboville</v>
      </c>
      <c r="AC8" s="36" t="str">
        <f>IFERROR(__xludf.DUMMYFUNCTION("""COMPUTED_VALUE"""),"Aarush Kumar")</f>
        <v>Aarush Kumar</v>
      </c>
      <c r="AD8" s="36" t="str">
        <f>IFERROR(__xludf.DUMMYFUNCTION("""COMPUTED_VALUE"""),"Catharina Johanna Mitzi Helena	Keller-With")</f>
        <v>Catharina Johanna Mitzi Helena	Keller-With</v>
      </c>
      <c r="AE8" s="36" t="str">
        <f>IFERROR(__xludf.DUMMYFUNCTION("""COMPUTED_VALUE"""),"Chinoyerem Miracle Onyegbula")</f>
        <v>Chinoyerem Miracle Onyegbula</v>
      </c>
      <c r="AF8" s="36" t="str">
        <f>IFERROR(__xludf.DUMMYFUNCTION("""COMPUTED_VALUE"""),"Aye Chan	Pyae Zone")</f>
        <v>Aye Chan	Pyae Zone</v>
      </c>
      <c r="AG8" s="38" t="str">
        <f>IFERROR(__xludf.DUMMYFUNCTION("""COMPUTED_VALUE"""),"Anya	Opal")</f>
        <v>Anya	Opal</v>
      </c>
      <c r="AH8" s="38" t="str">
        <f>IFERROR(__xludf.DUMMYFUNCTION("""COMPUTED_VALUE"""),"Amaya Ridaura Meierwisch")</f>
        <v>Amaya Ridaura Meierwisch</v>
      </c>
      <c r="AI8" s="38" t="str">
        <f>IFERROR(__xludf.DUMMYFUNCTION("""COMPUTED_VALUE"""),"Ana Lorena	Alonzo")</f>
        <v>Ana Lorena	Alonzo</v>
      </c>
      <c r="AJ8" s="38" t="str">
        <f>IFERROR(__xludf.DUMMYFUNCTION("""COMPUTED_VALUE"""),"Kiran	Wilcke")</f>
        <v>Kiran	Wilcke</v>
      </c>
      <c r="AK8" s="38" t="str">
        <f>IFERROR(__xludf.DUMMYFUNCTION("""COMPUTED_VALUE"""),"Jorge Alexander	Rivero Añez")</f>
        <v>Jorge Alexander	Rivero Añez</v>
      </c>
      <c r="AL8" s="38" t="str">
        <f>IFERROR(__xludf.DUMMYFUNCTION("""COMPUTED_VALUE"""),"Aarush Kumar")</f>
        <v>Aarush Kumar</v>
      </c>
      <c r="AM8" s="38" t="str">
        <f>IFERROR(__xludf.DUMMYFUNCTION("""COMPUTED_VALUE"""),"Florenz Levian	Krauß")</f>
        <v>Florenz Levian	Krauß</v>
      </c>
      <c r="AN8" s="38" t="str">
        <f>IFERROR(__xludf.DUMMYFUNCTION("""COMPUTED_VALUE"""),"Naya        Niedermayr")</f>
        <v>Naya        Niedermayr</v>
      </c>
      <c r="AO8" s="38" t="str">
        <f>IFERROR(__xludf.DUMMYFUNCTION("""COMPUTED_VALUE"""),"Daniel Alejandro	Aparicio Canales")</f>
        <v>Daniel Alejandro	Aparicio Canales</v>
      </c>
      <c r="AP8" s="39"/>
      <c r="AQ8" s="38" t="str">
        <f>IFERROR(__xludf.DUMMYFUNCTION("""COMPUTED_VALUE"""),"Aileen Marcela López Díaz")</f>
        <v>Aileen Marcela López Díaz</v>
      </c>
      <c r="AR8" s="31" t="str">
        <f>IFERROR(__xludf.DUMMYFUNCTION("""COMPUTED_VALUE"""),"Aileen Marcela López Díaz")</f>
        <v>Aileen Marcela López Díaz</v>
      </c>
      <c r="AS8" s="31" t="str">
        <f>IFERROR(__xludf.DUMMYFUNCTION("""COMPUTED_VALUE"""),"Agne Mečkovskytė")</f>
        <v>Agne Mečkovskytė</v>
      </c>
      <c r="AT8" s="31" t="str">
        <f>IFERROR(__xludf.DUMMYFUNCTION("""COMPUTED_VALUE"""),"Amaya Ridaura Meierwisch")</f>
        <v>Amaya Ridaura Meierwisch</v>
      </c>
      <c r="AU8" s="31" t="str">
        <f>IFERROR(__xludf.DUMMYFUNCTION("""COMPUTED_VALUE"""),"Alejandro Daniel Portillo Cabral")</f>
        <v>Alejandro Daniel Portillo Cabral</v>
      </c>
      <c r="AV8" s="31" t="str">
        <f>IFERROR(__xludf.DUMMYFUNCTION("""COMPUTED_VALUE"""),"Anya        Opal")</f>
        <v>Anya        Opal</v>
      </c>
      <c r="AW8" s="31" t="str">
        <f>IFERROR(__xludf.DUMMYFUNCTION("""COMPUTED_VALUE"""),"Amelia Balwit")</f>
        <v>Amelia Balwit</v>
      </c>
      <c r="AX8" s="35"/>
      <c r="AY8" s="34" t="str">
        <f>IFERROR(__xludf.DUMMYFUNCTION("""COMPUTED_VALUE"""),"Aarush Kumar")</f>
        <v>Aarush Kumar</v>
      </c>
      <c r="AZ8" s="34" t="str">
        <f>IFERROR(__xludf.DUMMYFUNCTION("""COMPUTED_VALUE"""),"Aileen Marcela López Díaz")</f>
        <v>Aileen Marcela López Díaz</v>
      </c>
      <c r="BA8" s="34" t="str">
        <f>IFERROR(__xludf.DUMMYFUNCTION("""COMPUTED_VALUE"""),"Emely Johanya	López Torres")</f>
        <v>Emely Johanya	López Torres</v>
      </c>
      <c r="BB8" s="34" t="str">
        <f>IFERROR(__xludf.DUMMYFUNCTION("""COMPUTED_VALUE"""),"Arianna	Candeloro")</f>
        <v>Arianna	Candeloro</v>
      </c>
      <c r="BC8" s="34" t="str">
        <f>IFERROR(__xludf.DUMMYFUNCTION("""COMPUTED_VALUE"""),"Amaya Ridaura Meierwisch")</f>
        <v>Amaya Ridaura Meierwisch</v>
      </c>
      <c r="BD8" s="34" t="str">
        <f>IFERROR(__xludf.DUMMYFUNCTION("""COMPUTED_VALUE"""),"Alejandro Daniel Portillo Cabral")</f>
        <v>Alejandro Daniel Portillo Cabral</v>
      </c>
      <c r="BE8" s="40" t="str">
        <f>IFERROR(__xludf.DUMMYFUNCTION("""COMPUTED_VALUE"""),"Zoé Sara        Amat")</f>
        <v>Zoé Sara        Amat</v>
      </c>
      <c r="BF8" s="36" t="str">
        <f>IFERROR(__xludf.DUMMYFUNCTION("""COMPUTED_VALUE"""),"Bhim Prasad        Timalsina")</f>
        <v>Bhim Prasad        Timalsina</v>
      </c>
      <c r="BG8" s="36" t="str">
        <f>IFERROR(__xludf.DUMMYFUNCTION("""COMPUTED_VALUE"""),"Agne Mečkovskytė")</f>
        <v>Agne Mečkovskytė</v>
      </c>
      <c r="BH8" s="36" t="str">
        <f>IFERROR(__xludf.DUMMYFUNCTION("""COMPUTED_VALUE"""),"Amelia Balwit")</f>
        <v>Amelia Balwit</v>
      </c>
      <c r="BI8" s="36" t="str">
        <f>IFERROR(__xludf.DUMMYFUNCTION("""COMPUTED_VALUE"""),"Aoife Jassami        Wade")</f>
        <v>Aoife Jassami        Wade</v>
      </c>
      <c r="BJ8" s="36" t="str">
        <f>IFERROR(__xludf.DUMMYFUNCTION("""COMPUTED_VALUE"""),"Aileen Marcela López Díaz")</f>
        <v>Aileen Marcela López Díaz</v>
      </c>
      <c r="BK8" s="36" t="str">
        <f>IFERROR(__xludf.DUMMYFUNCTION("""COMPUTED_VALUE"""),"Aye Chan        Pyae Zone")</f>
        <v>Aye Chan        Pyae Zone</v>
      </c>
      <c r="BL8" s="36" t="str">
        <f>IFERROR(__xludf.DUMMYFUNCTION("""COMPUTED_VALUE"""),"Aarush Kumar")</f>
        <v>Aarush Kumar</v>
      </c>
      <c r="BM8" s="39" t="str">
        <f>IFERROR(__xludf.DUMMYFUNCTION("""COMPUTED_VALUE"""),"Aye Chan        Pyae Zone")</f>
        <v>Aye Chan        Pyae Zone</v>
      </c>
      <c r="BN8" s="38" t="str">
        <f>IFERROR(__xludf.DUMMYFUNCTION("""COMPUTED_VALUE"""),"Aarush Kumar")</f>
        <v>Aarush Kumar</v>
      </c>
      <c r="BO8" s="38" t="str">
        <f>IFERROR(__xludf.DUMMYFUNCTION("""COMPUTED_VALUE"""),"Amelia Balwit")</f>
        <v>Amelia Balwit</v>
      </c>
      <c r="BP8" s="38" t="str">
        <f>IFERROR(__xludf.DUMMYFUNCTION("""COMPUTED_VALUE"""),"Kartik	Bedi")</f>
        <v>Kartik	Bedi</v>
      </c>
      <c r="BQ8" s="38" t="str">
        <f>IFERROR(__xludf.DUMMYFUNCTION("""COMPUTED_VALUE"""),"Chinoyerem Miracle Onyegbula")</f>
        <v>Chinoyerem Miracle Onyegbula</v>
      </c>
      <c r="BR8" s="38" t="str">
        <f>IFERROR(__xludf.DUMMYFUNCTION("""COMPUTED_VALUE"""),"Sofía Mercado Gómez")</f>
        <v>Sofía Mercado Gómez</v>
      </c>
      <c r="BS8" s="38" t="str">
        <f>IFERROR(__xludf.DUMMYFUNCTION("""COMPUTED_VALUE"""),"Cecilie Miklasz Carstensen")</f>
        <v>Cecilie Miklasz Carstensen</v>
      </c>
    </row>
    <row r="9">
      <c r="A9" s="27">
        <f>IFERROR(__xludf.DUMMYFUNCTION("""COMPUTED_VALUE"""),2.0)</f>
        <v>2</v>
      </c>
      <c r="B9" s="28" t="str">
        <f>IFERROR(__xludf.DUMMYFUNCTION("""COMPUTED_VALUE"""),"Edith Bulat Jövinger")</f>
        <v>Edith Bulat Jövinger</v>
      </c>
      <c r="C9" s="41" t="str">
        <f>IFERROR(__xludf.DUMMYFUNCTION("""COMPUTED_VALUE"""),"Jafeth Suarez Calderón")</f>
        <v>Jafeth Suarez Calderón</v>
      </c>
      <c r="D9" s="31" t="str">
        <f>IFERROR(__xludf.DUMMYFUNCTION("""COMPUTED_VALUE"""),"Min Fu (Mark) Huang")</f>
        <v>Min Fu (Mark) Huang</v>
      </c>
      <c r="E9" s="31" t="str">
        <f>IFERROR(__xludf.DUMMYFUNCTION("""COMPUTED_VALUE"""),"Arianna Candeloro")</f>
        <v>Arianna Candeloro</v>
      </c>
      <c r="F9" s="30"/>
      <c r="G9" s="31" t="str">
        <f>IFERROR(__xludf.DUMMYFUNCTION("""COMPUTED_VALUE"""),"Agne Mečkovskytė")</f>
        <v>Agne Mečkovskytė</v>
      </c>
      <c r="H9" s="30"/>
      <c r="I9" s="31" t="str">
        <f>IFERROR(__xludf.DUMMYFUNCTION("""COMPUTED_VALUE"""),"Chieh-Ni (Janice) Yang")</f>
        <v>Chieh-Ni (Janice) Yang</v>
      </c>
      <c r="J9" s="31" t="str">
        <f>IFERROR(__xludf.DUMMYFUNCTION("""COMPUTED_VALUE"""),"Amaya Ridaura Meierwisch")</f>
        <v>Amaya Ridaura Meierwisch</v>
      </c>
      <c r="K9" s="42" t="str">
        <f>IFERROR(__xludf.DUMMYFUNCTION("""COMPUTED_VALUE"""),"Hillary Villena Quispe")</f>
        <v>Hillary Villena Quispe</v>
      </c>
      <c r="L9" s="34" t="str">
        <f>IFERROR(__xludf.DUMMYFUNCTION("""COMPUTED_VALUE"""),"Amelia Balwit")</f>
        <v>Amelia Balwit</v>
      </c>
      <c r="M9" s="35"/>
      <c r="N9" s="34" t="str">
        <f>IFERROR(__xludf.DUMMYFUNCTION("""COMPUTED_VALUE"""),"Alina Araya Hernández")</f>
        <v>Alina Araya Hernández</v>
      </c>
      <c r="O9" s="34" t="str">
        <f>IFERROR(__xludf.DUMMYFUNCTION("""COMPUTED_VALUE"""),"Gabriel	Blanco Herrera")</f>
        <v>Gabriel	Blanco Herrera</v>
      </c>
      <c r="P9" s="34" t="str">
        <f>IFERROR(__xludf.DUMMYFUNCTION("""COMPUTED_VALUE"""),"Federico	Corda")</f>
        <v>Federico	Corda</v>
      </c>
      <c r="Q9" s="34" t="str">
        <f>IFERROR(__xludf.DUMMYFUNCTION("""COMPUTED_VALUE"""),"Eaint Htar Wazin	Aung")</f>
        <v>Eaint Htar Wazin	Aung</v>
      </c>
      <c r="R9" s="35"/>
      <c r="S9" s="34" t="str">
        <f>IFERROR(__xludf.DUMMYFUNCTION("""COMPUTED_VALUE"""),"Arianna	Candeloro")</f>
        <v>Arianna	Candeloro</v>
      </c>
      <c r="T9" s="34" t="str">
        <f>IFERROR(__xludf.DUMMYFUNCTION("""COMPUTED_VALUE"""),"Hedda        Olson")</f>
        <v>Hedda        Olson</v>
      </c>
      <c r="U9" s="34" t="str">
        <f>IFERROR(__xludf.DUMMYFUNCTION("""COMPUTED_VALUE"""),"Cecilie Miklasz Carstensen")</f>
        <v>Cecilie Miklasz Carstensen</v>
      </c>
      <c r="V9" s="35"/>
      <c r="W9" s="34" t="str">
        <f>IFERROR(__xludf.DUMMYFUNCTION("""COMPUTED_VALUE"""),"Aye Chan	Pyae Zone")</f>
        <v>Aye Chan	Pyae Zone</v>
      </c>
      <c r="X9" s="36" t="str">
        <f>IFERROR(__xludf.DUMMYFUNCTION("""COMPUTED_VALUE"""),"Daniel Alejandro	Aparicio Canales")</f>
        <v>Daniel Alejandro	Aparicio Canales</v>
      </c>
      <c r="Y9" s="36" t="str">
        <f>IFERROR(__xludf.DUMMYFUNCTION("""COMPUTED_VALUE"""),"Ximena Rosalyn	Ventura Diaz")</f>
        <v>Ximena Rosalyn	Ventura Diaz</v>
      </c>
      <c r="Z9" s="36"/>
      <c r="AA9" s="36" t="str">
        <f>IFERROR(__xludf.DUMMYFUNCTION("""COMPUTED_VALUE"""),"Eain	Pyae")</f>
        <v>Eain	Pyae</v>
      </c>
      <c r="AB9" s="36" t="str">
        <f>IFERROR(__xludf.DUMMYFUNCTION("""COMPUTED_VALUE"""),"Berber	de Greef")</f>
        <v>Berber	de Greef</v>
      </c>
      <c r="AC9" s="36" t="str">
        <f>IFERROR(__xludf.DUMMYFUNCTION("""COMPUTED_VALUE"""),"Ventsislav	Dinkov")</f>
        <v>Ventsislav	Dinkov</v>
      </c>
      <c r="AD9" s="36" t="str">
        <f>IFERROR(__xludf.DUMMYFUNCTION("""COMPUTED_VALUE"""),"Eaint Htar Wazin	Aung")</f>
        <v>Eaint Htar Wazin	Aung</v>
      </c>
      <c r="AE9" s="36" t="str">
        <f>IFERROR(__xludf.DUMMYFUNCTION("""COMPUTED_VALUE"""),"Arianna	Candeloro")</f>
        <v>Arianna	Candeloro</v>
      </c>
      <c r="AF9" s="43" t="str">
        <f>IFERROR(__xludf.DUMMYFUNCTION("""COMPUTED_VALUE"""),"Eddie Xi")</f>
        <v>Eddie Xi</v>
      </c>
      <c r="AG9" s="38" t="str">
        <f>IFERROR(__xludf.DUMMYFUNCTION("""COMPUTED_VALUE"""),"Kyle Imani")</f>
        <v>Kyle Imani</v>
      </c>
      <c r="AH9" s="38" t="str">
        <f>IFERROR(__xludf.DUMMYFUNCTION("""COMPUTED_VALUE"""),"Amelia Balwit")</f>
        <v>Amelia Balwit</v>
      </c>
      <c r="AI9" s="38" t="str">
        <f>IFERROR(__xludf.DUMMYFUNCTION("""COMPUTED_VALUE"""),"Ignacio Oreamuno Alpizar")</f>
        <v>Ignacio Oreamuno Alpizar</v>
      </c>
      <c r="AJ9" s="44" t="str">
        <f>IFERROR(__xludf.DUMMYFUNCTION("""COMPUTED_VALUE"""),"Bhim Prasad Timalsina")</f>
        <v>Bhim Prasad Timalsina</v>
      </c>
      <c r="AK9" s="38" t="str">
        <f>IFERROR(__xludf.DUMMYFUNCTION("""COMPUTED_VALUE"""),"Kris Xavier	Sealy")</f>
        <v>Kris Xavier	Sealy</v>
      </c>
      <c r="AL9" s="38" t="str">
        <f>IFERROR(__xludf.DUMMYFUNCTION("""COMPUTED_VALUE"""),"Agne Mečkovskytė")</f>
        <v>Agne Mečkovskytė</v>
      </c>
      <c r="AM9" s="38" t="str">
        <f>IFERROR(__xludf.DUMMYFUNCTION("""COMPUTED_VALUE"""),"Grete Mika	Gollenbeck")</f>
        <v>Grete Mika	Gollenbeck</v>
      </c>
      <c r="AN9" s="39"/>
      <c r="AO9" s="38" t="str">
        <f>IFERROR(__xludf.DUMMYFUNCTION("""COMPUTED_VALUE"""),"Gabriel	Blanco Herrera")</f>
        <v>Gabriel	Blanco Herrera</v>
      </c>
      <c r="AP9" s="39"/>
      <c r="AQ9" s="38" t="str">
        <f>IFERROR(__xludf.DUMMYFUNCTION("""COMPUTED_VALUE"""),"Pedro	Ortuño García")</f>
        <v>Pedro	Ortuño García</v>
      </c>
      <c r="AR9" s="31" t="str">
        <f>IFERROR(__xludf.DUMMYFUNCTION("""COMPUTED_VALUE"""),"Arianna        Candeloro")</f>
        <v>Arianna        Candeloro</v>
      </c>
      <c r="AS9" s="31" t="str">
        <f>IFERROR(__xludf.DUMMYFUNCTION("""COMPUTED_VALUE"""),"Cecilie Miklasz Carstensen")</f>
        <v>Cecilie Miklasz Carstensen</v>
      </c>
      <c r="AT9" s="31" t="str">
        <f>IFERROR(__xludf.DUMMYFUNCTION("""COMPUTED_VALUE"""),"Hillary        Villena Quispe")</f>
        <v>Hillary        Villena Quispe</v>
      </c>
      <c r="AU9" s="31" t="str">
        <f>IFERROR(__xludf.DUMMYFUNCTION("""COMPUTED_VALUE"""),"Chieh-Ni (Janice) Yang")</f>
        <v>Chieh-Ni (Janice) Yang</v>
      </c>
      <c r="AV9" s="31" t="str">
        <f>IFERROR(__xludf.DUMMYFUNCTION("""COMPUTED_VALUE"""),"Aoife Jassami        Wade")</f>
        <v>Aoife Jassami        Wade</v>
      </c>
      <c r="AW9" s="31" t="str">
        <f>IFERROR(__xludf.DUMMYFUNCTION("""COMPUTED_VALUE"""),"Fiorenza        Echecopar Correa")</f>
        <v>Fiorenza        Echecopar Correa</v>
      </c>
      <c r="AX9" s="35"/>
      <c r="AY9" s="34" t="str">
        <f>IFERROR(__xludf.DUMMYFUNCTION("""COMPUTED_VALUE"""),"Aryaka	Bist")</f>
        <v>Aryaka	Bist</v>
      </c>
      <c r="AZ9" s="34" t="str">
        <f>IFERROR(__xludf.DUMMYFUNCTION("""COMPUTED_VALUE"""),"Chinoyerem Miracle Onyegbula")</f>
        <v>Chinoyerem Miracle Onyegbula</v>
      </c>
      <c r="BA9" s="34" t="str">
        <f>IFERROR(__xludf.DUMMYFUNCTION("""COMPUTED_VALUE"""),"Federico	Corda")</f>
        <v>Federico	Corda</v>
      </c>
      <c r="BB9" s="34" t="str">
        <f>IFERROR(__xludf.DUMMYFUNCTION("""COMPUTED_VALUE"""),"Jade Yixuan	Wang")</f>
        <v>Jade Yixuan	Wang</v>
      </c>
      <c r="BC9" s="34" t="str">
        <f>IFERROR(__xludf.DUMMYFUNCTION("""COMPUTED_VALUE"""),"Amelia Balwit")</f>
        <v>Amelia Balwit</v>
      </c>
      <c r="BD9" s="34" t="str">
        <f>IFERROR(__xludf.DUMMYFUNCTION("""COMPUTED_VALUE"""),"Fiorenza	Echecopar Correa")</f>
        <v>Fiorenza	Echecopar Correa</v>
      </c>
      <c r="BE9" s="34" t="str">
        <f>IFERROR(__xludf.DUMMYFUNCTION("""COMPUTED_VALUE"""),"Mung Hkawng        Ja Ngai")</f>
        <v>Mung Hkawng        Ja Ngai</v>
      </c>
      <c r="BF9" s="36" t="str">
        <f>IFERROR(__xludf.DUMMYFUNCTION("""COMPUTED_VALUE"""),"Chinoyerem Miracle        Onyegbula")</f>
        <v>Chinoyerem Miracle        Onyegbula</v>
      </c>
      <c r="BG9" s="36" t="str">
        <f>IFERROR(__xludf.DUMMYFUNCTION("""COMPUTED_VALUE"""),"Amaya Ridaura Meierwisch")</f>
        <v>Amaya Ridaura Meierwisch</v>
      </c>
      <c r="BH9" s="36" t="str">
        <f>IFERROR(__xludf.DUMMYFUNCTION("""COMPUTED_VALUE"""),"Kirabo        Mugambwa")</f>
        <v>Kirabo        Mugambwa</v>
      </c>
      <c r="BI9" s="36" t="str">
        <f>IFERROR(__xludf.DUMMYFUNCTION("""COMPUTED_VALUE"""),"Edith        Bulat Jövinger")</f>
        <v>Edith        Bulat Jövinger</v>
      </c>
      <c r="BJ9" s="36" t="str">
        <f>IFERROR(__xludf.DUMMYFUNCTION("""COMPUTED_VALUE"""),"Ana Lorena        Alonzo")</f>
        <v>Ana Lorena        Alonzo</v>
      </c>
      <c r="BK9" s="36" t="str">
        <f>IFERROR(__xludf.DUMMYFUNCTION("""COMPUTED_VALUE"""),"Benicio        Brzozowski")</f>
        <v>Benicio        Brzozowski</v>
      </c>
      <c r="BL9" s="36" t="str">
        <f>IFERROR(__xludf.DUMMYFUNCTION("""COMPUTED_VALUE"""),"Cecilie Miklasz Carstensen")</f>
        <v>Cecilie Miklasz Carstensen</v>
      </c>
      <c r="BM9" s="39" t="str">
        <f>IFERROR(__xludf.DUMMYFUNCTION("""COMPUTED_VALUE"""),"Berber        de Greef")</f>
        <v>Berber        de Greef</v>
      </c>
      <c r="BN9" s="38" t="str">
        <f>IFERROR(__xludf.DUMMYFUNCTION("""COMPUTED_VALUE"""),"Aunati        Kumar")</f>
        <v>Aunati        Kumar</v>
      </c>
      <c r="BO9" s="38" t="str">
        <f>IFERROR(__xludf.DUMMYFUNCTION("""COMPUTED_VALUE"""),"Anya        Opal")</f>
        <v>Anya        Opal</v>
      </c>
      <c r="BP9" s="38" t="str">
        <f>IFERROR(__xludf.DUMMYFUNCTION("""COMPUTED_VALUE"""),"Fiorenza        Echecopar Correa")</f>
        <v>Fiorenza        Echecopar Correa</v>
      </c>
      <c r="BQ9" s="38" t="str">
        <f>IFERROR(__xludf.DUMMYFUNCTION("""COMPUTED_VALUE"""),"Bhim Prasad        Timalsina")</f>
        <v>Bhim Prasad        Timalsina</v>
      </c>
      <c r="BR9" s="38" t="str">
        <f>IFERROR(__xludf.DUMMYFUNCTION("""COMPUTED_VALUE"""),"Alina Araya Hernández")</f>
        <v>Alina Araya Hernández</v>
      </c>
      <c r="BS9" s="38" t="str">
        <f>IFERROR(__xludf.DUMMYFUNCTION("""COMPUTED_VALUE"""),"Chieh-Ni (Janice) Yang")</f>
        <v>Chieh-Ni (Janice) Yang</v>
      </c>
    </row>
    <row r="10">
      <c r="A10" s="27">
        <f>IFERROR(__xludf.DUMMYFUNCTION("""COMPUTED_VALUE"""),3.0)</f>
        <v>3</v>
      </c>
      <c r="B10" s="28" t="str">
        <f>IFERROR(__xludf.DUMMYFUNCTION("""COMPUTED_VALUE"""),"Gabriel Blanco Herrera")</f>
        <v>Gabriel Blanco Herrera</v>
      </c>
      <c r="C10" s="41" t="str">
        <f>IFERROR(__xludf.DUMMYFUNCTION("""COMPUTED_VALUE"""),"Jorge Alexander Rivero Añez")</f>
        <v>Jorge Alexander Rivero Añez</v>
      </c>
      <c r="D10" s="31" t="str">
        <f>IFERROR(__xludf.DUMMYFUNCTION("""COMPUTED_VALUE"""),"Rosmeily de Jesús        Reyes")</f>
        <v>Rosmeily de Jesús        Reyes</v>
      </c>
      <c r="E10" s="31" t="str">
        <f>IFERROR(__xludf.DUMMYFUNCTION("""COMPUTED_VALUE"""),"Ximena Rosalyn        Ventura Diaz")</f>
        <v>Ximena Rosalyn        Ventura Diaz</v>
      </c>
      <c r="F10" s="45"/>
      <c r="G10" s="31" t="str">
        <f>IFERROR(__xludf.DUMMYFUNCTION("""COMPUTED_VALUE"""),"Aryaka Bist")</f>
        <v>Aryaka Bist</v>
      </c>
      <c r="H10" s="30"/>
      <c r="I10" s="41" t="str">
        <f>IFERROR(__xludf.DUMMYFUNCTION("""COMPUTED_VALUE"""),"Hedda Olson")</f>
        <v>Hedda Olson</v>
      </c>
      <c r="J10" s="31" t="str">
        <f>IFERROR(__xludf.DUMMYFUNCTION("""COMPUTED_VALUE"""),"Aye Chan Pyae Zone")</f>
        <v>Aye Chan Pyae Zone</v>
      </c>
      <c r="K10" s="33"/>
      <c r="L10" s="34" t="str">
        <f>IFERROR(__xludf.DUMMYFUNCTION("""COMPUTED_VALUE"""),"Catharina Johanna Mitzi Helena	Keller-With")</f>
        <v>Catharina Johanna Mitzi Helena	Keller-With</v>
      </c>
      <c r="M10" s="35"/>
      <c r="N10" s="34" t="str">
        <f>IFERROR(__xludf.DUMMYFUNCTION("""COMPUTED_VALUE"""),"Ana Lorena Alonzo")</f>
        <v>Ana Lorena Alonzo</v>
      </c>
      <c r="O10" s="35"/>
      <c r="P10" s="34" t="str">
        <f>IFERROR(__xludf.DUMMYFUNCTION("""COMPUTED_VALUE"""),"Elba de la Oliva")</f>
        <v>Elba de la Oliva</v>
      </c>
      <c r="Q10" s="34" t="str">
        <f>IFERROR(__xludf.DUMMYFUNCTION("""COMPUTED_VALUE"""),"Hsuan-Hao	Chang")</f>
        <v>Hsuan-Hao	Chang</v>
      </c>
      <c r="R10" s="35"/>
      <c r="S10" s="34" t="str">
        <f>IFERROR(__xludf.DUMMYFUNCTION("""COMPUTED_VALUE"""),"Aryaka	Bist")</f>
        <v>Aryaka	Bist</v>
      </c>
      <c r="T10" s="35"/>
      <c r="U10" s="46" t="str">
        <f>IFERROR(__xludf.DUMMYFUNCTION("""COMPUTED_VALUE"""),"Ying Nam Aung")</f>
        <v>Ying Nam Aung</v>
      </c>
      <c r="V10" s="47"/>
      <c r="W10" s="34" t="str">
        <f>IFERROR(__xludf.DUMMYFUNCTION("""COMPUTED_VALUE"""),"Lydia Elizabeth Gathoni Cummins-Mburu")</f>
        <v>Lydia Elizabeth Gathoni Cummins-Mburu</v>
      </c>
      <c r="X10" s="36" t="str">
        <f>IFERROR(__xludf.DUMMYFUNCTION("""COMPUTED_VALUE"""),"Hillary	Villena Quispe")</f>
        <v>Hillary	Villena Quispe</v>
      </c>
      <c r="Y10" s="36" t="str">
        <f>IFERROR(__xludf.DUMMYFUNCTION("""COMPUTED_VALUE"""),"Sofía Mercado Gómez")</f>
        <v>Sofía Mercado Gómez</v>
      </c>
      <c r="Z10" s="36" t="str">
        <f>IFERROR(__xludf.DUMMYFUNCTION("""COMPUTED_VALUE"""),"Chieh-Ni (Janice) Yang")</f>
        <v>Chieh-Ni (Janice) Yang</v>
      </c>
      <c r="AA10" s="48"/>
      <c r="AB10" s="36" t="str">
        <f>IFERROR(__xludf.DUMMYFUNCTION("""COMPUTED_VALUE"""),"Bhim Prasad	Timalsina")</f>
        <v>Bhim Prasad	Timalsina</v>
      </c>
      <c r="AC10" s="49"/>
      <c r="AD10" s="36" t="str">
        <f>IFERROR(__xludf.DUMMYFUNCTION("""COMPUTED_VALUE"""),"Elba de la Oliva")</f>
        <v>Elba de la Oliva</v>
      </c>
      <c r="AE10" s="50"/>
      <c r="AF10" s="36" t="str">
        <f>IFERROR(__xludf.DUMMYFUNCTION("""COMPUTED_VALUE"""),"Tenzin	Jigme")</f>
        <v>Tenzin	Jigme</v>
      </c>
      <c r="AG10" s="38" t="str">
        <f>IFERROR(__xludf.DUMMYFUNCTION("""COMPUTED_VALUE"""),"Jade Yixuan	Wang")</f>
        <v>Jade Yixuan	Wang</v>
      </c>
      <c r="AH10" s="38" t="str">
        <f>IFERROR(__xludf.DUMMYFUNCTION("""COMPUTED_VALUE"""),"Aye Chan	Pyae Zone")</f>
        <v>Aye Chan	Pyae Zone</v>
      </c>
      <c r="AI10" s="38" t="str">
        <f>IFERROR(__xludf.DUMMYFUNCTION("""COMPUTED_VALUE"""),"Sofía Mercado Gómez")</f>
        <v>Sofía Mercado Gómez</v>
      </c>
      <c r="AJ10" s="38" t="str">
        <f>IFERROR(__xludf.DUMMYFUNCTION("""COMPUTED_VALUE"""),"Federico	Corda")</f>
        <v>Federico	Corda</v>
      </c>
      <c r="AK10" s="39"/>
      <c r="AL10" s="38" t="str">
        <f>IFERROR(__xludf.DUMMYFUNCTION("""COMPUTED_VALUE"""),"Aryaka	Bist")</f>
        <v>Aryaka	Bist</v>
      </c>
      <c r="AM10" s="38" t="str">
        <f>IFERROR(__xludf.DUMMYFUNCTION("""COMPUTED_VALUE"""),"Mung Hkawng	Ja Ngai")</f>
        <v>Mung Hkawng	Ja Ngai</v>
      </c>
      <c r="AN10" s="39"/>
      <c r="AO10" s="38" t="str">
        <f>IFERROR(__xludf.DUMMYFUNCTION("""COMPUTED_VALUE"""),"Oliver	Peña")</f>
        <v>Oliver	Peña</v>
      </c>
      <c r="AP10" s="39"/>
      <c r="AQ10" s="38" t="str">
        <f>IFERROR(__xludf.DUMMYFUNCTION("""COMPUTED_VALUE"""),"Alejandro Daniel Portillo Cabral")</f>
        <v>Alejandro Daniel Portillo Cabral</v>
      </c>
      <c r="AR10" s="30"/>
      <c r="AS10" s="31" t="str">
        <f>IFERROR(__xludf.DUMMYFUNCTION("""COMPUTED_VALUE"""),"Aye Chan        Pyae Zone")</f>
        <v>Aye Chan        Pyae Zone</v>
      </c>
      <c r="AT10" s="31" t="str">
        <f>IFERROR(__xludf.DUMMYFUNCTION("""COMPUTED_VALUE"""),"Maxime        De Corioli")</f>
        <v>Maxime        De Corioli</v>
      </c>
      <c r="AU10" s="51" t="str">
        <f>IFERROR(__xludf.DUMMYFUNCTION("""COMPUTED_VALUE"""),"Imran Tahiri")</f>
        <v>Imran Tahiri</v>
      </c>
      <c r="AV10" s="31" t="str">
        <f>IFERROR(__xludf.DUMMYFUNCTION("""COMPUTED_VALUE"""),"Aunati        Kumar")</f>
        <v>Aunati        Kumar</v>
      </c>
      <c r="AW10" s="31" t="str">
        <f>IFERROR(__xludf.DUMMYFUNCTION("""COMPUTED_VALUE"""),"Maitreyi Manoj        Nair")</f>
        <v>Maitreyi Manoj        Nair</v>
      </c>
      <c r="AX10" s="34" t="str">
        <f>IFERROR(__xludf.DUMMYFUNCTION("""COMPUTED_VALUE"""),"Bhim Prasad	Timalsina")</f>
        <v>Bhim Prasad	Timalsina</v>
      </c>
      <c r="AY10" s="34" t="str">
        <f>IFERROR(__xludf.DUMMYFUNCTION("""COMPUTED_VALUE"""),"Daniel Camilo	Gonzalez Marin")</f>
        <v>Daniel Camilo	Gonzalez Marin</v>
      </c>
      <c r="AZ10" s="34" t="str">
        <f>IFERROR(__xludf.DUMMYFUNCTION("""COMPUTED_VALUE"""),"Anya	Opal")</f>
        <v>Anya	Opal</v>
      </c>
      <c r="BA10" s="34" t="str">
        <f>IFERROR(__xludf.DUMMYFUNCTION("""COMPUTED_VALUE"""),"Oliver	Peña")</f>
        <v>Oliver	Peña</v>
      </c>
      <c r="BB10" s="34" t="str">
        <f>IFERROR(__xludf.DUMMYFUNCTION("""COMPUTED_VALUE"""),"Kirabo	Mugambwa")</f>
        <v>Kirabo	Mugambwa</v>
      </c>
      <c r="BC10" s="34" t="str">
        <f>IFERROR(__xludf.DUMMYFUNCTION("""COMPUTED_VALUE"""),"Cecilie Miklasz Carstensen")</f>
        <v>Cecilie Miklasz Carstensen</v>
      </c>
      <c r="BD10" s="34" t="str">
        <f>IFERROR(__xludf.DUMMYFUNCTION("""COMPUTED_VALUE"""),"Kristhel Gabriela	Ayapán Balcárcel")</f>
        <v>Kristhel Gabriela	Ayapán Balcárcel</v>
      </c>
      <c r="BE10" s="34" t="str">
        <f>IFERROR(__xludf.DUMMYFUNCTION("""COMPUTED_VALUE"""),"Catharina Johanna Mitzi Helena	Keller-With")</f>
        <v>Catharina Johanna Mitzi Helena	Keller-With</v>
      </c>
      <c r="BF10" s="36" t="str">
        <f>IFERROR(__xludf.DUMMYFUNCTION("""COMPUTED_VALUE"""),"Eain        Pyae")</f>
        <v>Eain        Pyae</v>
      </c>
      <c r="BG10" s="36" t="str">
        <f>IFERROR(__xludf.DUMMYFUNCTION("""COMPUTED_VALUE"""),"Ignacio        Oreamuno Alpizar")</f>
        <v>Ignacio        Oreamuno Alpizar</v>
      </c>
      <c r="BH10" s="36" t="str">
        <f>IFERROR(__xludf.DUMMYFUNCTION("""COMPUTED_VALUE"""),"Kyle        Imani")</f>
        <v>Kyle        Imani</v>
      </c>
      <c r="BI10" s="52" t="str">
        <f>IFERROR(__xludf.DUMMYFUNCTION("""COMPUTED_VALUE"""),"Tara        van Wijk")</f>
        <v>Tara        van Wijk</v>
      </c>
      <c r="BJ10" s="36" t="str">
        <f>IFERROR(__xludf.DUMMYFUNCTION("""COMPUTED_VALUE"""),"Daniel Alejandro        Aparicio Canales")</f>
        <v>Daniel Alejandro        Aparicio Canales</v>
      </c>
      <c r="BK10" s="36" t="str">
        <f>IFERROR(__xludf.DUMMYFUNCTION("""COMPUTED_VALUE"""),"Danielle        Namuwonge")</f>
        <v>Danielle        Namuwonge</v>
      </c>
      <c r="BL10" s="36" t="str">
        <f>IFERROR(__xludf.DUMMYFUNCTION("""COMPUTED_VALUE"""),"Chieh-Ni (Janice) Yang")</f>
        <v>Chieh-Ni (Janice) Yang</v>
      </c>
      <c r="BM10" s="38" t="str">
        <f>IFERROR(__xludf.DUMMYFUNCTION("""COMPUTED_VALUE"""),"Jules	Melgaard")</f>
        <v>Jules	Melgaard</v>
      </c>
      <c r="BN10" s="38" t="str">
        <f>IFERROR(__xludf.DUMMYFUNCTION("""COMPUTED_VALUE"""),"Azure        Adams")</f>
        <v>Azure        Adams</v>
      </c>
      <c r="BO10" s="38" t="str">
        <f>IFERROR(__xludf.DUMMYFUNCTION("""COMPUTED_VALUE"""),"Arianna        Candeloro")</f>
        <v>Arianna        Candeloro</v>
      </c>
      <c r="BP10" s="38" t="str">
        <f>IFERROR(__xludf.DUMMYFUNCTION("""COMPUTED_VALUE"""),"Julian	Waszink Miller")</f>
        <v>Julian	Waszink Miller</v>
      </c>
      <c r="BQ10" s="38" t="str">
        <f>IFERROR(__xludf.DUMMYFUNCTION("""COMPUTED_VALUE"""),"Eain        Pyae")</f>
        <v>Eain        Pyae</v>
      </c>
      <c r="BR10" s="38" t="str">
        <f>IFERROR(__xludf.DUMMYFUNCTION("""COMPUTED_VALUE"""),"Ana Lorena        Alonzo")</f>
        <v>Ana Lorena        Alonzo</v>
      </c>
      <c r="BS10" s="38" t="str">
        <f>IFERROR(__xludf.DUMMYFUNCTION("""COMPUTED_VALUE"""),"Catharina Johanna Mitzi Helena        Keller-With")</f>
        <v>Catharina Johanna Mitzi Helena        Keller-With</v>
      </c>
    </row>
    <row r="11">
      <c r="A11" s="27">
        <f>IFERROR(__xludf.DUMMYFUNCTION("""COMPUTED_VALUE"""),4.0)</f>
        <v>4</v>
      </c>
      <c r="B11" s="28" t="str">
        <f>IFERROR(__xludf.DUMMYFUNCTION("""COMPUTED_VALUE"""),"Julian Waszink Miller")</f>
        <v>Julian Waszink Miller</v>
      </c>
      <c r="C11" s="41" t="str">
        <f>IFERROR(__xludf.DUMMYFUNCTION("""COMPUTED_VALUE"""),"Jules Melgaard")</f>
        <v>Jules Melgaard</v>
      </c>
      <c r="D11" s="28" t="str">
        <f>IFERROR(__xludf.DUMMYFUNCTION("""COMPUTED_VALUE"""),"Elba de la Oliva")</f>
        <v>Elba de la Oliva</v>
      </c>
      <c r="E11" s="31" t="str">
        <f>IFERROR(__xludf.DUMMYFUNCTION("""COMPUTED_VALUE"""),"Sofía Mercado Gómez")</f>
        <v>Sofía Mercado Gómez</v>
      </c>
      <c r="F11" s="30"/>
      <c r="G11" s="31" t="str">
        <f>IFERROR(__xludf.DUMMYFUNCTION("""COMPUTED_VALUE"""),"Isaac Sekagya")</f>
        <v>Isaac Sekagya</v>
      </c>
      <c r="H11" s="30"/>
      <c r="I11" s="31" t="str">
        <f>IFERROR(__xludf.DUMMYFUNCTION("""COMPUTED_VALUE"""),"Danielle Namuwonge")</f>
        <v>Danielle Namuwonge</v>
      </c>
      <c r="J11" s="31" t="str">
        <f>IFERROR(__xludf.DUMMYFUNCTION("""COMPUTED_VALUE"""),"Yao Wei        Zheng He")</f>
        <v>Yao Wei        Zheng He</v>
      </c>
      <c r="K11" s="30"/>
      <c r="L11" s="34" t="str">
        <f>IFERROR(__xludf.DUMMYFUNCTION("""COMPUTED_VALUE"""),"Fiorenza	Echecopar Correa")</f>
        <v>Fiorenza	Echecopar Correa</v>
      </c>
      <c r="M11" s="35"/>
      <c r="N11" s="34" t="str">
        <f>IFERROR(__xludf.DUMMYFUNCTION("""COMPUTED_VALUE"""),"Daniel Camilo	Gonzalez Marin")</f>
        <v>Daniel Camilo	Gonzalez Marin</v>
      </c>
      <c r="O11" s="35"/>
      <c r="P11" s="34" t="str">
        <f>IFERROR(__xludf.DUMMYFUNCTION("""COMPUTED_VALUE"""),"Isabel	Canas-Ferreira Daltrop")</f>
        <v>Isabel	Canas-Ferreira Daltrop</v>
      </c>
      <c r="Q11" s="34" t="str">
        <f>IFERROR(__xludf.DUMMYFUNCTION("""COMPUTED_VALUE"""),"Jade Yixuan	Wang")</f>
        <v>Jade Yixuan	Wang</v>
      </c>
      <c r="R11" s="35"/>
      <c r="S11" s="34" t="str">
        <f>IFERROR(__xludf.DUMMYFUNCTION("""COMPUTED_VALUE"""),"Edith	Bulat Jövinger")</f>
        <v>Edith	Bulat Jövinger</v>
      </c>
      <c r="T11" s="35"/>
      <c r="U11" s="34" t="str">
        <f>IFERROR(__xludf.DUMMYFUNCTION("""COMPUTED_VALUE"""),"Aunati	Kumar")</f>
        <v>Aunati	Kumar</v>
      </c>
      <c r="V11" s="35"/>
      <c r="W11" s="34" t="str">
        <f>IFERROR(__xludf.DUMMYFUNCTION("""COMPUTED_VALUE"""),"Berber de Greef")</f>
        <v>Berber de Greef</v>
      </c>
      <c r="X11" s="36" t="str">
        <f>IFERROR(__xludf.DUMMYFUNCTION("""COMPUTED_VALUE"""),"Xiaoshi (Stone)	ZHAO")</f>
        <v>Xiaoshi (Stone)	ZHAO</v>
      </c>
      <c r="Y11" s="36" t="str">
        <f>IFERROR(__xludf.DUMMYFUNCTION("""COMPUTED_VALUE"""),"Mung Hkawng	Ja Ngai")</f>
        <v>Mung Hkawng	Ja Ngai</v>
      </c>
      <c r="Z11" s="36" t="str">
        <f>IFERROR(__xludf.DUMMYFUNCTION("""COMPUTED_VALUE"""),"Azure	Adams")</f>
        <v>Azure	Adams</v>
      </c>
      <c r="AA11" s="36" t="str">
        <f>IFERROR(__xludf.DUMMYFUNCTION("""COMPUTED_VALUE"""),"Oluwajomiloju Jedidah	Thorpe")</f>
        <v>Oluwajomiloju Jedidah	Thorpe</v>
      </c>
      <c r="AB11" s="36" t="str">
        <f>IFERROR(__xludf.DUMMYFUNCTION("""COMPUTED_VALUE"""),"Daniel Camilo	Gonzalez Marin")</f>
        <v>Daniel Camilo	Gonzalez Marin</v>
      </c>
      <c r="AC11" s="48"/>
      <c r="AD11" s="36" t="str">
        <f>IFERROR(__xludf.DUMMYFUNCTION("""COMPUTED_VALUE"""),"Hsuan-Hao	Chang")</f>
        <v>Hsuan-Hao	Chang</v>
      </c>
      <c r="AE11" s="36" t="str">
        <f>IFERROR(__xludf.DUMMYFUNCTION("""COMPUTED_VALUE"""),"Hedda	Olson")</f>
        <v>Hedda	Olson</v>
      </c>
      <c r="AF11" s="36" t="str">
        <f>IFERROR(__xludf.DUMMYFUNCTION("""COMPUTED_VALUE"""),"Aryaka	Bist")</f>
        <v>Aryaka	Bist</v>
      </c>
      <c r="AG11" s="38" t="str">
        <f>IFERROR(__xludf.DUMMYFUNCTION("""COMPUTED_VALUE"""),"Maitreyi Manoj	Nair")</f>
        <v>Maitreyi Manoj	Nair</v>
      </c>
      <c r="AH11" s="38" t="str">
        <f>IFERROR(__xludf.DUMMYFUNCTION("""COMPUTED_VALUE"""),"Catharina Johanna Mitzi Helena	Keller-With")</f>
        <v>Catharina Johanna Mitzi Helena	Keller-With</v>
      </c>
      <c r="AI11" s="53"/>
      <c r="AJ11" s="38" t="str">
        <f>IFERROR(__xludf.DUMMYFUNCTION("""COMPUTED_VALUE"""),"Jafeth	Suarez Calderón")</f>
        <v>Jafeth	Suarez Calderón</v>
      </c>
      <c r="AK11" s="39"/>
      <c r="AL11" s="39"/>
      <c r="AM11" s="38" t="str">
        <f>IFERROR(__xludf.DUMMYFUNCTION("""COMPUTED_VALUE"""),"Oluwafamisoke Oluwadunbarin	Olatunbosun")</f>
        <v>Oluwafamisoke Oluwadunbarin	Olatunbosun</v>
      </c>
      <c r="AN11" s="39"/>
      <c r="AO11" s="39"/>
      <c r="AP11" s="39"/>
      <c r="AQ11" s="38" t="str">
        <f>IFERROR(__xludf.DUMMYFUNCTION("""COMPUTED_VALUE"""),"Pamela	Solís Arias")</f>
        <v>Pamela	Solís Arias</v>
      </c>
      <c r="AR11" s="31" t="str">
        <f>IFERROR(__xludf.DUMMYFUNCTION("""COMPUTED_VALUE"""),"Benicio        Brzozowski")</f>
        <v>Benicio        Brzozowski</v>
      </c>
      <c r="AS11" s="42" t="str">
        <f>IFERROR(__xludf.DUMMYFUNCTION("""COMPUTED_VALUE"""),"Berber        de Greef")</f>
        <v>Berber        de Greef</v>
      </c>
      <c r="AT11" s="31" t="str">
        <f>IFERROR(__xludf.DUMMYFUNCTION("""COMPUTED_VALUE"""),"Jade Yixuan        Wang")</f>
        <v>Jade Yixuan        Wang</v>
      </c>
      <c r="AU11" s="31" t="str">
        <f>IFERROR(__xludf.DUMMYFUNCTION("""COMPUTED_VALUE"""),"Azure        Adams")</f>
        <v>Azure        Adams</v>
      </c>
      <c r="AV11" s="31" t="str">
        <f>IFERROR(__xludf.DUMMYFUNCTION("""COMPUTED_VALUE"""),"Catharina Johanna Mitzi Helena        Keller-With")</f>
        <v>Catharina Johanna Mitzi Helena        Keller-With</v>
      </c>
      <c r="AW11" s="31" t="str">
        <f>IFERROR(__xludf.DUMMYFUNCTION("""COMPUTED_VALUE"""),"Oluwafamisoke Oluwadunbarin        Olatunbosun")</f>
        <v>Oluwafamisoke Oluwadunbarin        Olatunbosun</v>
      </c>
      <c r="AX11" s="35"/>
      <c r="AY11" s="34" t="str">
        <f>IFERROR(__xludf.DUMMYFUNCTION("""COMPUTED_VALUE"""),"Jules	Melgaard")</f>
        <v>Jules	Melgaard</v>
      </c>
      <c r="AZ11" s="34" t="str">
        <f>IFERROR(__xludf.DUMMYFUNCTION("""COMPUTED_VALUE"""),"Maitreyi Manoj	Nair")</f>
        <v>Maitreyi Manoj	Nair</v>
      </c>
      <c r="BA11" s="34" t="str">
        <f>IFERROR(__xludf.DUMMYFUNCTION("""COMPUTED_VALUE"""),"Sofía Mercado Gómez")</f>
        <v>Sofía Mercado Gómez</v>
      </c>
      <c r="BB11" s="34" t="str">
        <f>IFERROR(__xludf.DUMMYFUNCTION("""COMPUTED_VALUE"""),"Hsuan-Hao	Chang")</f>
        <v>Hsuan-Hao	Chang</v>
      </c>
      <c r="BC11" s="34" t="str">
        <f>IFERROR(__xludf.DUMMYFUNCTION("""COMPUTED_VALUE"""),"Edith	Bulat Jövinger")</f>
        <v>Edith	Bulat Jövinger</v>
      </c>
      <c r="BD11" s="34" t="str">
        <f>IFERROR(__xludf.DUMMYFUNCTION("""COMPUTED_VALUE"""),"Pamela	Solís Arias")</f>
        <v>Pamela	Solís Arias</v>
      </c>
      <c r="BE11" s="34" t="str">
        <f>IFERROR(__xludf.DUMMYFUNCTION("""COMPUTED_VALUE"""),"Danielle	Namuwonge")</f>
        <v>Danielle	Namuwonge</v>
      </c>
      <c r="BF11" s="54" t="str">
        <f>IFERROR(__xludf.DUMMYFUNCTION("""COMPUTED_VALUE"""),"Jessica Lee        Hayduk")</f>
        <v>Jessica Lee        Hayduk</v>
      </c>
      <c r="BG11" s="36" t="str">
        <f>IFERROR(__xludf.DUMMYFUNCTION("""COMPUTED_VALUE"""),"Kartik        Bedi")</f>
        <v>Kartik        Bedi</v>
      </c>
      <c r="BH11" s="36" t="str">
        <f>IFERROR(__xludf.DUMMYFUNCTION("""COMPUTED_VALUE"""),"Zoé Sara        Amat")</f>
        <v>Zoé Sara        Amat</v>
      </c>
      <c r="BI11" s="36" t="str">
        <f>IFERROR(__xludf.DUMMYFUNCTION("""COMPUTED_VALUE"""),"Fiorenza        Echecopar Correa")</f>
        <v>Fiorenza        Echecopar Correa</v>
      </c>
      <c r="BJ11" s="36" t="str">
        <f>IFERROR(__xludf.DUMMYFUNCTION("""COMPUTED_VALUE"""),"Daniel Camilo        Gonzalez Marin")</f>
        <v>Daniel Camilo        Gonzalez Marin</v>
      </c>
      <c r="BK11" s="36" t="str">
        <f>IFERROR(__xludf.DUMMYFUNCTION("""COMPUTED_VALUE"""),"Kelzang        Tobgyel")</f>
        <v>Kelzang        Tobgyel</v>
      </c>
      <c r="BL11" s="36" t="str">
        <f>IFERROR(__xludf.DUMMYFUNCTION("""COMPUTED_VALUE"""),"Aunati        Kumar")</f>
        <v>Aunati        Kumar</v>
      </c>
      <c r="BM11" s="38" t="str">
        <f>IFERROR(__xludf.DUMMYFUNCTION("""COMPUTED_VALUE"""),"Ronja	Grundig")</f>
        <v>Ronja	Grundig</v>
      </c>
      <c r="BN11" s="38" t="str">
        <f>IFERROR(__xludf.DUMMYFUNCTION("""COMPUTED_VALUE"""),"Danielle        Namuwonge")</f>
        <v>Danielle        Namuwonge</v>
      </c>
      <c r="BO11" s="38" t="str">
        <f>IFERROR(__xludf.DUMMYFUNCTION("""COMPUTED_VALUE"""),"Jade Yixuan	Wang")</f>
        <v>Jade Yixuan	Wang</v>
      </c>
      <c r="BP11" s="38" t="str">
        <f>IFERROR(__xludf.DUMMYFUNCTION("""COMPUTED_VALUE"""),"Maitreyi Manoj	Nair")</f>
        <v>Maitreyi Manoj	Nair</v>
      </c>
      <c r="BQ11" s="38" t="str">
        <f>IFERROR(__xludf.DUMMYFUNCTION("""COMPUTED_VALUE"""),"Klaudia	Wyrębkowska")</f>
        <v>Klaudia	Wyrębkowska</v>
      </c>
      <c r="BR11" s="38" t="str">
        <f>IFERROR(__xludf.DUMMYFUNCTION("""COMPUTED_VALUE"""),"Emely Johanya        López Torres")</f>
        <v>Emely Johanya        López Torres</v>
      </c>
      <c r="BS11" s="38" t="str">
        <f>IFERROR(__xludf.DUMMYFUNCTION("""COMPUTED_VALUE"""),"Edith        Bulat Jövinger")</f>
        <v>Edith        Bulat Jövinger</v>
      </c>
    </row>
    <row r="12">
      <c r="A12" s="27">
        <f>IFERROR(__xludf.DUMMYFUNCTION("""COMPUTED_VALUE"""),5.0)</f>
        <v>5</v>
      </c>
      <c r="B12" s="28" t="str">
        <f>IFERROR(__xludf.DUMMYFUNCTION("""COMPUTED_VALUE"""),"Juliana Montarsolo")</f>
        <v>Juliana Montarsolo</v>
      </c>
      <c r="C12" s="41" t="str">
        <f>IFERROR(__xludf.DUMMYFUNCTION("""COMPUTED_VALUE"""),"Kirabo Mugambwa")</f>
        <v>Kirabo Mugambwa</v>
      </c>
      <c r="D12" s="30"/>
      <c r="E12" s="41" t="str">
        <f>IFERROR(__xludf.DUMMYFUNCTION("""COMPUTED_VALUE"""),"Isabel Canas-Ferreira Daltrop")</f>
        <v>Isabel Canas-Ferreira Daltrop</v>
      </c>
      <c r="F12" s="30"/>
      <c r="G12" s="31" t="str">
        <f>IFERROR(__xludf.DUMMYFUNCTION("""COMPUTED_VALUE"""),"Kyle Imani")</f>
        <v>Kyle Imani</v>
      </c>
      <c r="H12" s="30"/>
      <c r="I12" s="31" t="str">
        <f>IFERROR(__xludf.DUMMYFUNCTION("""COMPUTED_VALUE"""),"Eain Pyae")</f>
        <v>Eain Pyae</v>
      </c>
      <c r="J12" s="31" t="str">
        <f>IFERROR(__xludf.DUMMYFUNCTION("""COMPUTED_VALUE"""),"Fiorenza Echecopar Correa")</f>
        <v>Fiorenza Echecopar Correa</v>
      </c>
      <c r="K12" s="30"/>
      <c r="L12" s="34" t="str">
        <f>IFERROR(__xludf.DUMMYFUNCTION("""COMPUTED_VALUE"""),"Kirabo	Mugambwa")</f>
        <v>Kirabo	Mugambwa</v>
      </c>
      <c r="M12" s="35"/>
      <c r="N12" s="34" t="str">
        <f>IFERROR(__xludf.DUMMYFUNCTION("""COMPUTED_VALUE"""),"Emely Johanya	López Torres")</f>
        <v>Emely Johanya	López Torres</v>
      </c>
      <c r="O12" s="35"/>
      <c r="P12" s="34" t="str">
        <f>IFERROR(__xludf.DUMMYFUNCTION("""COMPUTED_VALUE"""),"Jules	Melgaard")</f>
        <v>Jules	Melgaard</v>
      </c>
      <c r="Q12" s="34" t="str">
        <f>IFERROR(__xludf.DUMMYFUNCTION("""COMPUTED_VALUE"""),"Juliana	Montarsolo")</f>
        <v>Juliana	Montarsolo</v>
      </c>
      <c r="R12" s="35"/>
      <c r="S12" s="34" t="str">
        <f>IFERROR(__xludf.DUMMYFUNCTION("""COMPUTED_VALUE"""),"Pia	de Ville de Goyet")</f>
        <v>Pia	de Ville de Goyet</v>
      </c>
      <c r="T12" s="35"/>
      <c r="U12" s="34" t="str">
        <f>IFERROR(__xludf.DUMMYFUNCTION("""COMPUTED_VALUE"""),"Azure	Adams")</f>
        <v>Azure	Adams</v>
      </c>
      <c r="V12" s="34" t="str">
        <f>IFERROR(__xludf.DUMMYFUNCTION("""COMPUTED_VALUE"""),"Josie May	Thomas")</f>
        <v>Josie May	Thomas</v>
      </c>
      <c r="W12" s="34" t="str">
        <f>IFERROR(__xludf.DUMMYFUNCTION("""COMPUTED_VALUE"""),"Bhim Prasad	Timalsina")</f>
        <v>Bhim Prasad	Timalsina</v>
      </c>
      <c r="X12" s="36" t="str">
        <f>IFERROR(__xludf.DUMMYFUNCTION("""COMPUTED_VALUE"""),"Jorge Alexander	Rivero Añez")</f>
        <v>Jorge Alexander	Rivero Añez</v>
      </c>
      <c r="Y12" s="48"/>
      <c r="Z12" s="36" t="str">
        <f>IFERROR(__xludf.DUMMYFUNCTION("""COMPUTED_VALUE"""),"Benicio	Brzozowski")</f>
        <v>Benicio	Brzozowski</v>
      </c>
      <c r="AA12" s="50"/>
      <c r="AB12" s="36" t="str">
        <f>IFERROR(__xludf.DUMMYFUNCTION("""COMPUTED_VALUE"""),"Danielle	Namuwonge")</f>
        <v>Danielle	Namuwonge</v>
      </c>
      <c r="AC12" s="48"/>
      <c r="AD12" s="36" t="str">
        <f>IFERROR(__xludf.DUMMYFUNCTION("""COMPUTED_VALUE"""),"Jessica Lee	Hayduk")</f>
        <v>Jessica Lee	Hayduk</v>
      </c>
      <c r="AE12" s="36" t="str">
        <f>IFERROR(__xludf.DUMMYFUNCTION("""COMPUTED_VALUE"""),"Ignacio	Oreamuno Alpizar")</f>
        <v>Ignacio	Oreamuno Alpizar</v>
      </c>
      <c r="AF12" s="36" t="str">
        <f>IFERROR(__xludf.DUMMYFUNCTION("""COMPUTED_VALUE"""),"Amaya Ridaura Meierwisch")</f>
        <v>Amaya Ridaura Meierwisch</v>
      </c>
      <c r="AG12" s="38" t="str">
        <f>IFERROR(__xludf.DUMMYFUNCTION("""COMPUTED_VALUE"""),"Elba  de la Oliva")</f>
        <v>Elba  de la Oliva</v>
      </c>
      <c r="AH12" s="38" t="str">
        <f>IFERROR(__xludf.DUMMYFUNCTION("""COMPUTED_VALUE"""),"Cecilie Miklasz	Carstensen")</f>
        <v>Cecilie Miklasz	Carstensen</v>
      </c>
      <c r="AI12" s="55"/>
      <c r="AJ12" s="38" t="str">
        <f>IFERROR(__xludf.DUMMYFUNCTION("""COMPUTED_VALUE"""),"Kartik	Bedi")</f>
        <v>Kartik	Bedi</v>
      </c>
      <c r="AK12" s="39"/>
      <c r="AL12" s="38" t="str">
        <f>IFERROR(__xludf.DUMMYFUNCTION("""COMPUTED_VALUE"""),"Eain	Pyae")</f>
        <v>Eain	Pyae</v>
      </c>
      <c r="AM12" s="38" t="str">
        <f>IFERROR(__xludf.DUMMYFUNCTION("""COMPUTED_VALUE"""),"Azure Adams")</f>
        <v>Azure Adams</v>
      </c>
      <c r="AN12" s="39"/>
      <c r="AO12" s="38" t="str">
        <f>IFERROR(__xludf.DUMMYFUNCTION("""COMPUTED_VALUE"""),"Ronja	Grundig")</f>
        <v>Ronja	Grundig</v>
      </c>
      <c r="AP12" s="39"/>
      <c r="AQ12" s="39"/>
      <c r="AR12" s="31" t="str">
        <f>IFERROR(__xludf.DUMMYFUNCTION("""COMPUTED_VALUE"""),"Daniel Camilo        Gonzalez Marin")</f>
        <v>Daniel Camilo        Gonzalez Marin</v>
      </c>
      <c r="AS12" s="31" t="str">
        <f>IFERROR(__xludf.DUMMYFUNCTION("""COMPUTED_VALUE"""),"Isaac        Sekagya")</f>
        <v>Isaac        Sekagya</v>
      </c>
      <c r="AT12" s="56" t="str">
        <f>IFERROR(__xludf.DUMMYFUNCTION("""COMPUTED_VALUE"""),"Salomé d'Aboville")</f>
        <v>Salomé d'Aboville</v>
      </c>
      <c r="AU12" s="31" t="str">
        <f>IFERROR(__xludf.DUMMYFUNCTION("""COMPUTED_VALUE"""),"Bhim Prasad        Timalsina")</f>
        <v>Bhim Prasad        Timalsina</v>
      </c>
      <c r="AV12" s="31" t="str">
        <f>IFERROR(__xludf.DUMMYFUNCTION("""COMPUTED_VALUE"""),"Juliana        Montarsolo")</f>
        <v>Juliana        Montarsolo</v>
      </c>
      <c r="AW12" s="31" t="str">
        <f>IFERROR(__xludf.DUMMYFUNCTION("""COMPUTED_VALUE"""),"Tilda        Gaspar")</f>
        <v>Tilda        Gaspar</v>
      </c>
      <c r="AX12" s="34" t="str">
        <f>IFERROR(__xludf.DUMMYFUNCTION("""COMPUTED_VALUE"""),"Florenz Levian	Krauß")</f>
        <v>Florenz Levian	Krauß</v>
      </c>
      <c r="AY12" s="34" t="str">
        <f>IFERROR(__xludf.DUMMYFUNCTION("""COMPUTED_VALUE"""),"Jorge Alexander	Rivero Añez")</f>
        <v>Jorge Alexander	Rivero Añez</v>
      </c>
      <c r="AZ12" s="40" t="str">
        <f>IFERROR(__xludf.DUMMYFUNCTION("""COMPUTED_VALUE"""),"Kelzang	Tobgyel")</f>
        <v>Kelzang	Tobgyel</v>
      </c>
      <c r="BA12" s="34" t="str">
        <f>IFERROR(__xludf.DUMMYFUNCTION("""COMPUTED_VALUE"""),"Isabela        Aurélio de Vargas")</f>
        <v>Isabela        Aurélio de Vargas</v>
      </c>
      <c r="BB12" s="34" t="str">
        <f>IFERROR(__xludf.DUMMYFUNCTION("""COMPUTED_VALUE"""),"Tahmina	Tamim")</f>
        <v>Tahmina	Tamim</v>
      </c>
      <c r="BC12" s="34" t="str">
        <f>IFERROR(__xludf.DUMMYFUNCTION("""COMPUTED_VALUE"""),"Kris Xavier	Sealy")</f>
        <v>Kris Xavier	Sealy</v>
      </c>
      <c r="BD12" s="34" t="str">
        <f>IFERROR(__xludf.DUMMYFUNCTION("""COMPUTED_VALUE"""),"Pedro	Ortuño García")</f>
        <v>Pedro	Ortuño García</v>
      </c>
      <c r="BE12" s="34" t="str">
        <f>IFERROR(__xludf.DUMMYFUNCTION("""COMPUTED_VALUE"""),"Hedda	Olson")</f>
        <v>Hedda	Olson</v>
      </c>
      <c r="BF12" s="36" t="str">
        <f>IFERROR(__xludf.DUMMYFUNCTION("""COMPUTED_VALUE"""),"Klaudia        Wyrębkowska")</f>
        <v>Klaudia        Wyrębkowska</v>
      </c>
      <c r="BG12" s="36" t="str">
        <f>IFERROR(__xludf.DUMMYFUNCTION("""COMPUTED_VALUE"""),"Oluwajomiloju Jedidah        Thorpe")</f>
        <v>Oluwajomiloju Jedidah        Thorpe</v>
      </c>
      <c r="BH12" s="36" t="str">
        <f>IFERROR(__xludf.DUMMYFUNCTION("""COMPUTED_VALUE"""),"Yannis Christian        Erni")</f>
        <v>Yannis Christian        Erni</v>
      </c>
      <c r="BI12" s="36" t="str">
        <f>IFERROR(__xludf.DUMMYFUNCTION("""COMPUTED_VALUE"""),"Isaac        Sekagya")</f>
        <v>Isaac        Sekagya</v>
      </c>
      <c r="BJ12" s="36" t="str">
        <f>IFERROR(__xludf.DUMMYFUNCTION("""COMPUTED_VALUE"""),"Gabriel        Blanco Herrera")</f>
        <v>Gabriel        Blanco Herrera</v>
      </c>
      <c r="BK12" s="36" t="str">
        <f>IFERROR(__xludf.DUMMYFUNCTION("""COMPUTED_VALUE"""),"Kiran        Wilcke")</f>
        <v>Kiran        Wilcke</v>
      </c>
      <c r="BL12" s="48" t="str">
        <f>IFERROR(__xludf.DUMMYFUNCTION("""COMPUTED_VALUE"""),"Berber        de Greef")</f>
        <v>Berber        de Greef</v>
      </c>
      <c r="BM12" s="38" t="str">
        <f>IFERROR(__xludf.DUMMYFUNCTION("""COMPUTED_VALUE"""),"Isabel        Canas-Ferreira Daltrop")</f>
        <v>Isabel        Canas-Ferreira Daltrop</v>
      </c>
      <c r="BN12" s="38" t="str">
        <f>IFERROR(__xludf.DUMMYFUNCTION("""COMPUTED_VALUE"""),"Josie May	Thomas")</f>
        <v>Josie May	Thomas</v>
      </c>
      <c r="BO12" s="38" t="str">
        <f>IFERROR(__xludf.DUMMYFUNCTION("""COMPUTED_VALUE"""),"Juliana	Montarsolo")</f>
        <v>Juliana	Montarsolo</v>
      </c>
      <c r="BP12" s="57"/>
      <c r="BQ12" s="38" t="str">
        <f>IFERROR(__xludf.DUMMYFUNCTION("""COMPUTED_VALUE"""),"Kyle	Imani")</f>
        <v>Kyle	Imani</v>
      </c>
      <c r="BR12" s="38" t="str">
        <f>IFERROR(__xludf.DUMMYFUNCTION("""COMPUTED_VALUE"""),"Daniel Alejandro        Aparicio Canales")</f>
        <v>Daniel Alejandro        Aparicio Canales</v>
      </c>
      <c r="BS12" s="58" t="str">
        <f>IFERROR(__xludf.DUMMYFUNCTION("""COMPUTED_VALUE"""),"Mung Hkawng        Ja Ngai")</f>
        <v>Mung Hkawng        Ja Ngai</v>
      </c>
    </row>
    <row r="13">
      <c r="A13" s="27">
        <f>IFERROR(__xludf.DUMMYFUNCTION("""COMPUTED_VALUE"""),6.0)</f>
        <v>6</v>
      </c>
      <c r="B13" s="28" t="str">
        <f>IFERROR(__xludf.DUMMYFUNCTION("""COMPUTED_VALUE"""),"Kelzang Tobgyel")</f>
        <v>Kelzang Tobgyel</v>
      </c>
      <c r="C13" s="41" t="str">
        <f>IFERROR(__xludf.DUMMYFUNCTION("""COMPUTED_VALUE"""),"Laora Servant")</f>
        <v>Laora Servant</v>
      </c>
      <c r="D13" s="30"/>
      <c r="E13" s="30"/>
      <c r="F13" s="30"/>
      <c r="G13" s="31" t="str">
        <f>IFERROR(__xludf.DUMMYFUNCTION("""COMPUTED_VALUE"""),"Maitreyi Manoj Nair")</f>
        <v>Maitreyi Manoj Nair</v>
      </c>
      <c r="H13" s="30"/>
      <c r="I13" s="31" t="str">
        <f>IFERROR(__xludf.DUMMYFUNCTION("""COMPUTED_VALUE"""),"Eaint Htar Wazin Aung")</f>
        <v>Eaint Htar Wazin Aung</v>
      </c>
      <c r="J13" s="31" t="str">
        <f>IFERROR(__xludf.DUMMYFUNCTION("""COMPUTED_VALUE"""),"Hsuan-Hao Chang")</f>
        <v>Hsuan-Hao Chang</v>
      </c>
      <c r="K13" s="30"/>
      <c r="L13" s="59" t="str">
        <f>IFERROR(__xludf.DUMMYFUNCTION("""COMPUTED_VALUE"""),"Klaudia Wyrębkowska")</f>
        <v>Klaudia Wyrębkowska</v>
      </c>
      <c r="M13" s="35"/>
      <c r="N13" s="34" t="str">
        <f>IFERROR(__xludf.DUMMYFUNCTION("""COMPUTED_VALUE"""),"Hillary	Villena Quispe")</f>
        <v>Hillary	Villena Quispe</v>
      </c>
      <c r="O13" s="35"/>
      <c r="P13" s="34" t="str">
        <f>IFERROR(__xludf.DUMMYFUNCTION("""COMPUTED_VALUE"""),"Maxime	De Corioli")</f>
        <v>Maxime	De Corioli</v>
      </c>
      <c r="Q13" s="34" t="str">
        <f>IFERROR(__xludf.DUMMYFUNCTION("""COMPUTED_VALUE"""),"Naya	Niedermayr")</f>
        <v>Naya	Niedermayr</v>
      </c>
      <c r="R13" s="35"/>
      <c r="S13" s="34" t="str">
        <f>IFERROR(__xludf.DUMMYFUNCTION("""COMPUTED_VALUE"""),"Julian	Waszink Miller")</f>
        <v>Julian	Waszink Miller</v>
      </c>
      <c r="T13" s="35"/>
      <c r="U13" s="34" t="str">
        <f>IFERROR(__xludf.DUMMYFUNCTION("""COMPUTED_VALUE"""),"Danielle	Namuwonge")</f>
        <v>Danielle	Namuwonge</v>
      </c>
      <c r="V13" s="35"/>
      <c r="W13" s="34" t="str">
        <f>IFERROR(__xludf.DUMMYFUNCTION("""COMPUTED_VALUE"""),"Florenz Levian	Krauß")</f>
        <v>Florenz Levian	Krauß</v>
      </c>
      <c r="X13" s="36" t="str">
        <f>IFERROR(__xludf.DUMMYFUNCTION("""COMPUTED_VALUE"""),"Kristhel Gabriela	Ayapán Balcárcel")</f>
        <v>Kristhel Gabriela	Ayapán Balcárcel</v>
      </c>
      <c r="Y13" s="48"/>
      <c r="Z13" s="36" t="str">
        <f>IFERROR(__xludf.DUMMYFUNCTION("""COMPUTED_VALUE"""),"Edith	Bulat Jövinger")</f>
        <v>Edith	Bulat Jövinger</v>
      </c>
      <c r="AA13" s="48"/>
      <c r="AB13" s="36" t="str">
        <f>IFERROR(__xludf.DUMMYFUNCTION("""COMPUTED_VALUE"""),"Emely Johanya	López Torres")</f>
        <v>Emely Johanya	López Torres</v>
      </c>
      <c r="AC13" s="48"/>
      <c r="AD13" s="36" t="str">
        <f>IFERROR(__xludf.DUMMYFUNCTION("""COMPUTED_VALUE"""),"Kelzang	Tobgyel")</f>
        <v>Kelzang	Tobgyel</v>
      </c>
      <c r="AE13" s="36" t="str">
        <f>IFERROR(__xludf.DUMMYFUNCTION("""COMPUTED_VALUE"""),"Isaac	Sekagya")</f>
        <v>Isaac	Sekagya</v>
      </c>
      <c r="AF13" s="36" t="str">
        <f>IFERROR(__xludf.DUMMYFUNCTION("""COMPUTED_VALUE"""),"Anya        Opal")</f>
        <v>Anya        Opal</v>
      </c>
      <c r="AG13" s="38" t="str">
        <f>IFERROR(__xludf.DUMMYFUNCTION("""COMPUTED_VALUE"""),"Tara	van Wijk")</f>
        <v>Tara	van Wijk</v>
      </c>
      <c r="AH13" s="38" t="str">
        <f>IFERROR(__xludf.DUMMYFUNCTION("""COMPUTED_VALUE"""),"Daniel Camilo	Gonzalez Marin")</f>
        <v>Daniel Camilo	Gonzalez Marin</v>
      </c>
      <c r="AI13" s="39"/>
      <c r="AJ13" s="39"/>
      <c r="AK13" s="39"/>
      <c r="AL13" s="38" t="str">
        <f>IFERROR(__xludf.DUMMYFUNCTION("""COMPUTED_VALUE"""),"Hedda	Olson")</f>
        <v>Hedda	Olson</v>
      </c>
      <c r="AM13" s="44" t="str">
        <f>IFERROR(__xludf.DUMMYFUNCTION("""COMPUTED_VALUE"""),"Ying Nam Aung")</f>
        <v>Ying Nam Aung</v>
      </c>
      <c r="AN13" s="39"/>
      <c r="AO13" s="38" t="str">
        <f>IFERROR(__xludf.DUMMYFUNCTION("""COMPUTED_VALUE"""),"Rosmeily de Jesús	Reyes")</f>
        <v>Rosmeily de Jesús	Reyes</v>
      </c>
      <c r="AP13" s="39"/>
      <c r="AQ13" s="55"/>
      <c r="AR13" s="42" t="str">
        <f>IFERROR(__xludf.DUMMYFUNCTION("""COMPUTED_VALUE"""),"Danielle        Namuwonge")</f>
        <v>Danielle        Namuwonge</v>
      </c>
      <c r="AS13" s="60" t="str">
        <f>IFERROR(__xludf.DUMMYFUNCTION("""COMPUTED_VALUE"""),"Julian        Waszink Miller")</f>
        <v>Julian        Waszink Miller</v>
      </c>
      <c r="AT13" s="31" t="str">
        <f>IFERROR(__xludf.DUMMYFUNCTION("""COMPUTED_VALUE"""),"Sophia	Gehann")</f>
        <v>Sophia	Gehann</v>
      </c>
      <c r="AU13" s="31" t="str">
        <f>IFERROR(__xludf.DUMMYFUNCTION("""COMPUTED_VALUE"""),"Eaint Htar Wazin        Aung")</f>
        <v>Eaint Htar Wazin        Aung</v>
      </c>
      <c r="AV13" s="31" t="str">
        <f>IFERROR(__xludf.DUMMYFUNCTION("""COMPUTED_VALUE"""),"Ronja        Grundig")</f>
        <v>Ronja        Grundig</v>
      </c>
      <c r="AW13" s="31" t="str">
        <f>IFERROR(__xludf.DUMMYFUNCTION("""COMPUTED_VALUE"""),"Ulrich        Mohrhdart Doger")</f>
        <v>Ulrich        Mohrhdart Doger</v>
      </c>
      <c r="AX13" s="34" t="str">
        <f>IFERROR(__xludf.DUMMYFUNCTION("""COMPUTED_VALUE"""),"Grete Mika	Gollenbeck")</f>
        <v>Grete Mika	Gollenbeck</v>
      </c>
      <c r="AY13" s="34" t="str">
        <f>IFERROR(__xludf.DUMMYFUNCTION("""COMPUTED_VALUE"""),"Xiaoshi (Stone)	ZHAO")</f>
        <v>Xiaoshi (Stone)	ZHAO</v>
      </c>
      <c r="AZ13" s="34" t="str">
        <f>IFERROR(__xludf.DUMMYFUNCTION("""COMPUTED_VALUE"""),"Klaudia	Wyrębkowska")</f>
        <v>Klaudia	Wyrębkowska</v>
      </c>
      <c r="BA13" s="34" t="str">
        <f>IFERROR(__xludf.DUMMYFUNCTION("""COMPUTED_VALUE"""),"Ana Lorena	Alonzo")</f>
        <v>Ana Lorena	Alonzo</v>
      </c>
      <c r="BB13" s="34" t="str">
        <f>IFERROR(__xludf.DUMMYFUNCTION("""COMPUTED_VALUE"""),"Yannis Christian	Erni")</f>
        <v>Yannis Christian	Erni</v>
      </c>
      <c r="BC13" s="34" t="str">
        <f>IFERROR(__xludf.DUMMYFUNCTION("""COMPUTED_VALUE"""),"Laora	Servant")</f>
        <v>Laora	Servant</v>
      </c>
      <c r="BD13" s="34" t="str">
        <f>IFERROR(__xludf.DUMMYFUNCTION("""COMPUTED_VALUE"""),"Rosmeily de Jesús	Reyes")</f>
        <v>Rosmeily de Jesús	Reyes</v>
      </c>
      <c r="BE13" s="34" t="str">
        <f>IFERROR(__xludf.DUMMYFUNCTION("""COMPUTED_VALUE"""),"Ignacio	Oreamuno Alpizar")</f>
        <v>Ignacio	Oreamuno Alpizar</v>
      </c>
      <c r="BF13" s="36" t="str">
        <f>IFERROR(__xludf.DUMMYFUNCTION("""COMPUTED_VALUE"""),"Leo Mark        Gibson Davies")</f>
        <v>Leo Mark        Gibson Davies</v>
      </c>
      <c r="BG13" s="36" t="str">
        <f>IFERROR(__xludf.DUMMYFUNCTION("""COMPUTED_VALUE"""),"Aryaka        Bist")</f>
        <v>Aryaka        Bist</v>
      </c>
      <c r="BH13" s="36" t="str">
        <f>IFERROR(__xludf.DUMMYFUNCTION("""COMPUTED_VALUE"""),"Wenqing        LIANG")</f>
        <v>Wenqing        LIANG</v>
      </c>
      <c r="BI13" s="36" t="str">
        <f>IFERROR(__xludf.DUMMYFUNCTION("""COMPUTED_VALUE"""),"Isabel        Canas-Ferreira Daltrop")</f>
        <v>Isabel        Canas-Ferreira Daltrop</v>
      </c>
      <c r="BJ13" s="36" t="str">
        <f>IFERROR(__xludf.DUMMYFUNCTION("""COMPUTED_VALUE"""),"Hillary        Villena Quispe")</f>
        <v>Hillary        Villena Quispe</v>
      </c>
      <c r="BK13" s="48"/>
      <c r="BL13" s="36" t="str">
        <f>IFERROR(__xludf.DUMMYFUNCTION("""COMPUTED_VALUE"""),"Federico        Corda")</f>
        <v>Federico        Corda</v>
      </c>
      <c r="BM13" s="38" t="str">
        <f>IFERROR(__xludf.DUMMYFUNCTION("""COMPUTED_VALUE"""),"Ulrich	Mohrhdart Doger")</f>
        <v>Ulrich	Mohrhdart Doger</v>
      </c>
      <c r="BN13" s="38" t="str">
        <f>IFERROR(__xludf.DUMMYFUNCTION("""COMPUTED_VALUE"""),"Kelzang	Tobgyel")</f>
        <v>Kelzang	Tobgyel</v>
      </c>
      <c r="BO13" s="38" t="str">
        <f>IFERROR(__xludf.DUMMYFUNCTION("""COMPUTED_VALUE"""),"Laora	Servant")</f>
        <v>Laora	Servant</v>
      </c>
      <c r="BP13" s="39"/>
      <c r="BQ13" s="38" t="str">
        <f>IFERROR(__xludf.DUMMYFUNCTION("""COMPUTED_VALUE"""),"Leo Mark	Gibson Davies")</f>
        <v>Leo Mark	Gibson Davies</v>
      </c>
      <c r="BR13" s="38" t="str">
        <f>IFERROR(__xludf.DUMMYFUNCTION("""COMPUTED_VALUE"""),"Daniel Camilo        Gonzalez Marin")</f>
        <v>Daniel Camilo        Gonzalez Marin</v>
      </c>
      <c r="BS13" s="38" t="str">
        <f>IFERROR(__xludf.DUMMYFUNCTION("""COMPUTED_VALUE"""),"Maxime	De Corioli")</f>
        <v>Maxime	De Corioli</v>
      </c>
    </row>
    <row r="14">
      <c r="A14" s="27">
        <f>IFERROR(__xludf.DUMMYFUNCTION("""COMPUTED_VALUE"""),7.0)</f>
        <v>7</v>
      </c>
      <c r="B14" s="28" t="str">
        <f>IFERROR(__xludf.DUMMYFUNCTION("""COMPUTED_VALUE"""),"Kiran Wilcke")</f>
        <v>Kiran Wilcke</v>
      </c>
      <c r="C14" s="41" t="str">
        <f>IFERROR(__xludf.DUMMYFUNCTION("""COMPUTED_VALUE"""),"Lucrezia Blanca Morra")</f>
        <v>Lucrezia Blanca Morra</v>
      </c>
      <c r="D14" s="30"/>
      <c r="E14" s="30"/>
      <c r="F14" s="30"/>
      <c r="G14" s="30"/>
      <c r="H14" s="30"/>
      <c r="I14" s="30"/>
      <c r="J14" s="31" t="str">
        <f>IFERROR(__xludf.DUMMYFUNCTION("""COMPUTED_VALUE"""),"Kristhel Gabriela Ayapán Balcárcel")</f>
        <v>Kristhel Gabriela Ayapán Balcárcel</v>
      </c>
      <c r="K14" s="30"/>
      <c r="L14" s="34" t="str">
        <f>IFERROR(__xludf.DUMMYFUNCTION("""COMPUTED_VALUE"""),"Yannis Christian	Erni")</f>
        <v>Yannis Christian	Erni</v>
      </c>
      <c r="M14" s="35"/>
      <c r="N14" s="34" t="str">
        <f>IFERROR(__xludf.DUMMYFUNCTION("""COMPUTED_VALUE"""),"Ignacio	Oreamuno Alpizar")</f>
        <v>Ignacio	Oreamuno Alpizar</v>
      </c>
      <c r="O14" s="35"/>
      <c r="P14" s="34" t="str">
        <f>IFERROR(__xludf.DUMMYFUNCTION("""COMPUTED_VALUE"""),"Olivia	Moe-Jordan")</f>
        <v>Olivia	Moe-Jordan</v>
      </c>
      <c r="Q14" s="34" t="str">
        <f>IFERROR(__xludf.DUMMYFUNCTION("""COMPUTED_VALUE"""),"Sofia	Tomasikova")</f>
        <v>Sofia	Tomasikova</v>
      </c>
      <c r="R14" s="35"/>
      <c r="S14" s="34" t="str">
        <f>IFERROR(__xludf.DUMMYFUNCTION("""COMPUTED_VALUE"""),"Kartik	Bedi")</f>
        <v>Kartik	Bedi</v>
      </c>
      <c r="T14" s="35"/>
      <c r="U14" s="34" t="str">
        <f>IFERROR(__xludf.DUMMYFUNCTION("""COMPUTED_VALUE"""),"Eain Pyae")</f>
        <v>Eain Pyae</v>
      </c>
      <c r="V14" s="35"/>
      <c r="W14" s="34" t="str">
        <f>IFERROR(__xludf.DUMMYFUNCTION("""COMPUTED_VALUE"""),"Leo Mark	Gibson Davies")</f>
        <v>Leo Mark	Gibson Davies</v>
      </c>
      <c r="X14" s="36" t="str">
        <f>IFERROR(__xludf.DUMMYFUNCTION("""COMPUTED_VALUE"""),"Min Fu (Mark)	Huang")</f>
        <v>Min Fu (Mark)	Huang</v>
      </c>
      <c r="Y14" s="48"/>
      <c r="Z14" s="36" t="str">
        <f>IFERROR(__xludf.DUMMYFUNCTION("""COMPUTED_VALUE"""),"Filip	Suchanski")</f>
        <v>Filip	Suchanski</v>
      </c>
      <c r="AA14" s="48"/>
      <c r="AB14" s="36" t="str">
        <f>IFERROR(__xludf.DUMMYFUNCTION("""COMPUTED_VALUE"""),"Federico	Corda")</f>
        <v>Federico	Corda</v>
      </c>
      <c r="AC14" s="48"/>
      <c r="AD14" s="36" t="str">
        <f>IFERROR(__xludf.DUMMYFUNCTION("""COMPUTED_VALUE"""),"Laora	Servant")</f>
        <v>Laora	Servant</v>
      </c>
      <c r="AE14" s="36" t="str">
        <f>IFERROR(__xludf.DUMMYFUNCTION("""COMPUTED_VALUE"""),"Josie May	Thomas")</f>
        <v>Josie May	Thomas</v>
      </c>
      <c r="AF14" s="36" t="str">
        <f>IFERROR(__xludf.DUMMYFUNCTION("""COMPUTED_VALUE"""),"Grete Mika        Gollenbeck")</f>
        <v>Grete Mika        Gollenbeck</v>
      </c>
      <c r="AG14" s="38" t="str">
        <f>IFERROR(__xludf.DUMMYFUNCTION("""COMPUTED_VALUE"""),"Tenzin	Jigme")</f>
        <v>Tenzin	Jigme</v>
      </c>
      <c r="AH14" s="38" t="str">
        <f>IFERROR(__xludf.DUMMYFUNCTION("""COMPUTED_VALUE"""),"Fiorenza	Echecopar Correa")</f>
        <v>Fiorenza	Echecopar Correa</v>
      </c>
      <c r="AI14" s="39"/>
      <c r="AJ14" s="38" t="str">
        <f>IFERROR(__xludf.DUMMYFUNCTION("""COMPUTED_VALUE"""),"Laora	Servant")</f>
        <v>Laora	Servant</v>
      </c>
      <c r="AK14" s="39"/>
      <c r="AL14" s="38" t="str">
        <f>IFERROR(__xludf.DUMMYFUNCTION("""COMPUTED_VALUE"""),"Isaac	Sekagya")</f>
        <v>Isaac	Sekagya</v>
      </c>
      <c r="AM14" s="38" t="str">
        <f>IFERROR(__xludf.DUMMYFUNCTION("""COMPUTED_VALUE"""),"Sophia	Gehann")</f>
        <v>Sophia	Gehann</v>
      </c>
      <c r="AN14" s="39"/>
      <c r="AO14" s="61" t="str">
        <f>IFERROR(__xludf.DUMMYFUNCTION("""COMPUTED_VALUE"""),"Salomé d'Aboville")</f>
        <v>Salomé d'Aboville</v>
      </c>
      <c r="AP14" s="39"/>
      <c r="AQ14" s="39"/>
      <c r="AR14" s="31" t="str">
        <f>IFERROR(__xludf.DUMMYFUNCTION("""COMPUTED_VALUE"""),"Eain        Pyae")</f>
        <v>Eain        Pyae</v>
      </c>
      <c r="AS14" s="31" t="str">
        <f>IFERROR(__xludf.DUMMYFUNCTION("""COMPUTED_VALUE"""),"Kartik        Bedi")</f>
        <v>Kartik        Bedi</v>
      </c>
      <c r="AT14" s="31" t="str">
        <f>IFERROR(__xludf.DUMMYFUNCTION("""COMPUTED_VALUE"""),"Kristhel Gabriela	Ayapán Balcárcel")</f>
        <v>Kristhel Gabriela	Ayapán Balcárcel</v>
      </c>
      <c r="AU14" s="31" t="str">
        <f>IFERROR(__xludf.DUMMYFUNCTION("""COMPUTED_VALUE"""),"Elba de la Oliva")</f>
        <v>Elba de la Oliva</v>
      </c>
      <c r="AV14" s="31" t="str">
        <f>IFERROR(__xludf.DUMMYFUNCTION("""COMPUTED_VALUE"""),"Jafeth	Suarez Calderón")</f>
        <v>Jafeth	Suarez Calderón</v>
      </c>
      <c r="AW14" s="31" t="str">
        <f>IFERROR(__xludf.DUMMYFUNCTION("""COMPUTED_VALUE"""),"Ventsislav        Dinkov")</f>
        <v>Ventsislav        Dinkov</v>
      </c>
      <c r="AX14" s="34" t="str">
        <f>IFERROR(__xludf.DUMMYFUNCTION("""COMPUTED_VALUE"""),"Isaac	Sekagya")</f>
        <v>Isaac	Sekagya</v>
      </c>
      <c r="AY14" s="62"/>
      <c r="AZ14" s="34" t="str">
        <f>IFERROR(__xludf.DUMMYFUNCTION("""COMPUTED_VALUE"""),"Pia  de Ville de Goyet")</f>
        <v>Pia  de Ville de Goyet</v>
      </c>
      <c r="BA14" s="34" t="str">
        <f>IFERROR(__xludf.DUMMYFUNCTION("""COMPUTED_VALUE"""),"Gabriel	Blanco Herrera")</f>
        <v>Gabriel	Blanco Herrera</v>
      </c>
      <c r="BB14" s="34" t="str">
        <f>IFERROR(__xludf.DUMMYFUNCTION("""COMPUTED_VALUE"""),"Sofia        Tomasikova")</f>
        <v>Sofia        Tomasikova</v>
      </c>
      <c r="BC14" s="34" t="str">
        <f>IFERROR(__xludf.DUMMYFUNCTION("""COMPUTED_VALUE"""),"Maxime	De Corioli")</f>
        <v>Maxime	De Corioli</v>
      </c>
      <c r="BD14" s="34" t="str">
        <f>IFERROR(__xludf.DUMMYFUNCTION("""COMPUTED_VALUE"""),"Ulrich	Mohrhdart Doger")</f>
        <v>Ulrich	Mohrhdart Doger</v>
      </c>
      <c r="BE14" s="34" t="str">
        <f>IFERROR(__xludf.DUMMYFUNCTION("""COMPUTED_VALUE"""),"Jessica Lee	Hayduk")</f>
        <v>Jessica Lee	Hayduk</v>
      </c>
      <c r="BF14" s="36" t="str">
        <f>IFERROR(__xludf.DUMMYFUNCTION("""COMPUTED_VALUE"""),"Ronja        Grundig")</f>
        <v>Ronja        Grundig</v>
      </c>
      <c r="BG14" s="36" t="str">
        <f>IFERROR(__xludf.DUMMYFUNCTION("""COMPUTED_VALUE"""),"Oluwafamisoke Oluwadunbarin        Olatunbosun")</f>
        <v>Oluwafamisoke Oluwadunbarin        Olatunbosun</v>
      </c>
      <c r="BH14" s="36" t="str">
        <f>IFERROR(__xludf.DUMMYFUNCTION("""COMPUTED_VALUE"""),"Lydia Elizabeth Gathoni Cummins-Mburu")</f>
        <v>Lydia Elizabeth Gathoni Cummins-Mburu</v>
      </c>
      <c r="BI14" s="36" t="str">
        <f>IFERROR(__xludf.DUMMYFUNCTION("""COMPUTED_VALUE"""),"Jafeth        Suarez Calderón")</f>
        <v>Jafeth        Suarez Calderón</v>
      </c>
      <c r="BJ14" s="36" t="str">
        <f>IFERROR(__xludf.DUMMYFUNCTION("""COMPUTED_VALUE"""),"Sofía Mercado Gómez")</f>
        <v>Sofía Mercado Gómez</v>
      </c>
      <c r="BK14" s="36" t="str">
        <f>IFERROR(__xludf.DUMMYFUNCTION("""COMPUTED_VALUE"""),"Pedro        Ortuño García")</f>
        <v>Pedro        Ortuño García</v>
      </c>
      <c r="BL14" s="36" t="str">
        <f>IFERROR(__xludf.DUMMYFUNCTION("""COMPUTED_VALUE"""),"Filip        Suchanski")</f>
        <v>Filip        Suchanski</v>
      </c>
      <c r="BM14" s="39" t="str">
        <f>IFERROR(__xludf.DUMMYFUNCTION("""COMPUTED_VALUE"""),"Aoife Jassami Wade")</f>
        <v>Aoife Jassami Wade</v>
      </c>
      <c r="BN14" s="38" t="str">
        <f>IFERROR(__xludf.DUMMYFUNCTION("""COMPUTED_VALUE"""),"Kris Xavier	Sealy")</f>
        <v>Kris Xavier	Sealy</v>
      </c>
      <c r="BO14" s="38" t="str">
        <f>IFERROR(__xludf.DUMMYFUNCTION("""COMPUTED_VALUE"""),"Lydia Elizabeth Gathoni	Cummins-Mburu")</f>
        <v>Lydia Elizabeth Gathoni	Cummins-Mburu</v>
      </c>
      <c r="BP14" s="39"/>
      <c r="BQ14" s="63" t="str">
        <f>IFERROR(__xludf.DUMMYFUNCTION("""COMPUTED_VALUE"""),"Imran Tahiri")</f>
        <v>Imran Tahiri</v>
      </c>
      <c r="BR14" s="38" t="str">
        <f>IFERROR(__xludf.DUMMYFUNCTION("""COMPUTED_VALUE"""),"Jafeth	Suarez Calderón")</f>
        <v>Jafeth	Suarez Calderón</v>
      </c>
      <c r="BS14" s="38" t="str">
        <f>IFERROR(__xludf.DUMMYFUNCTION("""COMPUTED_VALUE"""),"Min Fu (Mark)	Huang")</f>
        <v>Min Fu (Mark)	Huang</v>
      </c>
    </row>
    <row r="15">
      <c r="A15" s="27">
        <f>IFERROR(__xludf.DUMMYFUNCTION("""COMPUTED_VALUE"""),8.0)</f>
        <v>8</v>
      </c>
      <c r="B15" s="41" t="str">
        <f>IFERROR(__xludf.DUMMYFUNCTION("""COMPUTED_VALUE"""),"Sophia Gehann")</f>
        <v>Sophia Gehann</v>
      </c>
      <c r="C15" s="41" t="str">
        <f>IFERROR(__xludf.DUMMYFUNCTION("""COMPUTED_VALUE"""),"Maxime De Corioli")</f>
        <v>Maxime De Corioli</v>
      </c>
      <c r="D15" s="30"/>
      <c r="E15" s="30"/>
      <c r="F15" s="30"/>
      <c r="G15" s="31" t="str">
        <f>IFERROR(__xludf.DUMMYFUNCTION("""COMPUTED_VALUE"""),"Mung Hkawng Ja Ngai")</f>
        <v>Mung Hkawng Ja Ngai</v>
      </c>
      <c r="H15" s="30"/>
      <c r="I15" s="31" t="str">
        <f>IFERROR(__xludf.DUMMYFUNCTION("""COMPUTED_VALUE"""),"Jessica Lee Hayduk")</f>
        <v>Jessica Lee Hayduk</v>
      </c>
      <c r="J15" s="31" t="str">
        <f>IFERROR(__xludf.DUMMYFUNCTION("""COMPUTED_VALUE"""),"Berber de Greef")</f>
        <v>Berber de Greef</v>
      </c>
      <c r="K15" s="30"/>
      <c r="L15" s="64" t="str">
        <f>IFERROR(__xludf.DUMMYFUNCTION("""COMPUTED_VALUE"""),"Tilda Gaspar")</f>
        <v>Tilda Gaspar</v>
      </c>
      <c r="M15" s="35"/>
      <c r="N15" s="34" t="str">
        <f>IFERROR(__xludf.DUMMYFUNCTION("""COMPUTED_VALUE"""),"Oliver	Peña")</f>
        <v>Oliver	Peña</v>
      </c>
      <c r="O15" s="35"/>
      <c r="P15" s="65" t="str">
        <f>IFERROR(__xludf.DUMMYFUNCTION("""COMPUTED_VALUE"""),"Salomé d'Aboville")</f>
        <v>Salomé d'Aboville</v>
      </c>
      <c r="Q15" s="34" t="str">
        <f>IFERROR(__xludf.DUMMYFUNCTION("""COMPUTED_VALUE"""),"Sophia	Gehann")</f>
        <v>Sophia	Gehann</v>
      </c>
      <c r="R15" s="35"/>
      <c r="S15" s="34" t="str">
        <f>IFERROR(__xludf.DUMMYFUNCTION("""COMPUTED_VALUE"""),"Kelzang	Tobgyel")</f>
        <v>Kelzang	Tobgyel</v>
      </c>
      <c r="T15" s="35"/>
      <c r="U15" s="35"/>
      <c r="V15" s="35"/>
      <c r="W15" s="34" t="str">
        <f>IFERROR(__xludf.DUMMYFUNCTION("""COMPUTED_VALUE"""),"Min Fu (Mark)	Huang")</f>
        <v>Min Fu (Mark)	Huang</v>
      </c>
      <c r="X15" s="36" t="str">
        <f>IFERROR(__xludf.DUMMYFUNCTION("""COMPUTED_VALUE"""),"Rosmeily de Jesús	Reyes")</f>
        <v>Rosmeily de Jesús	Reyes</v>
      </c>
      <c r="Y15" s="48"/>
      <c r="Z15" s="36" t="str">
        <f>IFERROR(__xludf.DUMMYFUNCTION("""COMPUTED_VALUE"""),"Florenz Levian	Krauß")</f>
        <v>Florenz Levian	Krauß</v>
      </c>
      <c r="AA15" s="48"/>
      <c r="AB15" s="36" t="str">
        <f>IFERROR(__xludf.DUMMYFUNCTION("""COMPUTED_VALUE"""),"Gabriel	Blanco Herrera")</f>
        <v>Gabriel	Blanco Herrera</v>
      </c>
      <c r="AC15" s="48"/>
      <c r="AD15" s="36" t="str">
        <f>IFERROR(__xludf.DUMMYFUNCTION("""COMPUTED_VALUE"""),"Naya	Niedermayr")</f>
        <v>Naya	Niedermayr</v>
      </c>
      <c r="AE15" s="36" t="str">
        <f>IFERROR(__xludf.DUMMYFUNCTION("""COMPUTED_VALUE"""),"Kirabo	Mugambwa")</f>
        <v>Kirabo	Mugambwa</v>
      </c>
      <c r="AF15" s="66" t="str">
        <f>IFERROR(__xludf.DUMMYFUNCTION("""COMPUTED_VALUE"""),"Kartik        Bedi")</f>
        <v>Kartik        Bedi</v>
      </c>
      <c r="AG15" s="38" t="str">
        <f>IFERROR(__xludf.DUMMYFUNCTION("""COMPUTED_VALUE"""),"Josie May	Thomas")</f>
        <v>Josie May	Thomas</v>
      </c>
      <c r="AH15" s="38" t="str">
        <f>IFERROR(__xludf.DUMMYFUNCTION("""COMPUTED_VALUE"""),"Hillary	Villena Quispe")</f>
        <v>Hillary	Villena Quispe</v>
      </c>
      <c r="AI15" s="39"/>
      <c r="AJ15" s="38" t="str">
        <f>IFERROR(__xludf.DUMMYFUNCTION("""COMPUTED_VALUE"""),"Leo Mark	Gibson Davies")</f>
        <v>Leo Mark	Gibson Davies</v>
      </c>
      <c r="AK15" s="39"/>
      <c r="AL15" s="38" t="str">
        <f>IFERROR(__xludf.DUMMYFUNCTION("""COMPUTED_VALUE"""),"Jessica Lee	Hayduk")</f>
        <v>Jessica Lee	Hayduk</v>
      </c>
      <c r="AM15" s="39"/>
      <c r="AN15" s="39"/>
      <c r="AO15" s="67" t="str">
        <f>IFERROR(__xludf.DUMMYFUNCTION("""COMPUTED_VALUE"""),"Imran Tahiri")</f>
        <v>Imran Tahiri</v>
      </c>
      <c r="AP15" s="39"/>
      <c r="AQ15" s="68"/>
      <c r="AR15" s="56" t="str">
        <f>IFERROR(__xludf.DUMMYFUNCTION("""COMPUTED_VALUE"""),"Emely Johanya        López Torres")</f>
        <v>Emely Johanya        López Torres</v>
      </c>
      <c r="AS15" s="31" t="str">
        <f>IFERROR(__xludf.DUMMYFUNCTION("""COMPUTED_VALUE"""),"Kirabo        Mugambwa")</f>
        <v>Kirabo        Mugambwa</v>
      </c>
      <c r="AT15" s="31" t="str">
        <f>IFERROR(__xludf.DUMMYFUNCTION("""COMPUTED_VALUE"""),"Kiran        Wilcke")</f>
        <v>Kiran        Wilcke</v>
      </c>
      <c r="AU15" s="31" t="str">
        <f>IFERROR(__xludf.DUMMYFUNCTION("""COMPUTED_VALUE"""),"Federico        Corda")</f>
        <v>Federico        Corda</v>
      </c>
      <c r="AV15" s="69"/>
      <c r="AW15" s="42" t="str">
        <f>IFERROR(__xludf.DUMMYFUNCTION("""COMPUTED_VALUE"""),"Wenqing        LIANG")</f>
        <v>Wenqing        LIANG</v>
      </c>
      <c r="AX15" s="35"/>
      <c r="AY15" s="70"/>
      <c r="AZ15" s="34" t="str">
        <f>IFERROR(__xludf.DUMMYFUNCTION("""COMPUTED_VALUE"""),"Elba	de la Oliva")</f>
        <v>Elba	de la Oliva</v>
      </c>
      <c r="BA15" s="34" t="str">
        <f>IFERROR(__xludf.DUMMYFUNCTION("""COMPUTED_VALUE"""),"Alina Araya Hernández")</f>
        <v>Alina Araya Hernández</v>
      </c>
      <c r="BB15" s="46" t="str">
        <f>IFERROR(__xludf.DUMMYFUNCTION("""COMPUTED_VALUE"""),"Ying Nam Aung")</f>
        <v>Ying Nam Aung</v>
      </c>
      <c r="BC15" s="34" t="str">
        <f>IFERROR(__xludf.DUMMYFUNCTION("""COMPUTED_VALUE"""),"Sophia	Gehann")</f>
        <v>Sophia	Gehann</v>
      </c>
      <c r="BD15" s="34" t="str">
        <f>IFERROR(__xludf.DUMMYFUNCTION("""COMPUTED_VALUE"""),"Yao Wei	Zheng He")</f>
        <v>Yao Wei	Zheng He</v>
      </c>
      <c r="BE15" s="34" t="str">
        <f>IFERROR(__xludf.DUMMYFUNCTION("""COMPUTED_VALUE"""),"Juliana	Montarsolo")</f>
        <v>Juliana	Montarsolo</v>
      </c>
      <c r="BF15" s="54" t="str">
        <f>IFERROR(__xludf.DUMMYFUNCTION("""COMPUTED_VALUE"""),"Ying Nam Aung")</f>
        <v>Ying Nam Aung</v>
      </c>
      <c r="BG15" s="36" t="str">
        <f>IFERROR(__xludf.DUMMYFUNCTION("""COMPUTED_VALUE"""),"Azure        Adams")</f>
        <v>Azure        Adams</v>
      </c>
      <c r="BH15" s="43" t="str">
        <f>IFERROR(__xludf.DUMMYFUNCTION("""COMPUTED_VALUE"""),"Eddie Xi")</f>
        <v>Eddie Xi</v>
      </c>
      <c r="BI15" s="36" t="str">
        <f>IFERROR(__xludf.DUMMYFUNCTION("""COMPUTED_VALUE"""),"Julian        Waszink Miller")</f>
        <v>Julian        Waszink Miller</v>
      </c>
      <c r="BJ15" s="36" t="str">
        <f>IFERROR(__xludf.DUMMYFUNCTION("""COMPUTED_VALUE"""),"Alina Araya Hernández")</f>
        <v>Alina Araya Hernández</v>
      </c>
      <c r="BK15" s="36" t="str">
        <f>IFERROR(__xludf.DUMMYFUNCTION("""COMPUTED_VALUE"""),"Lucrezia Blanca        Morra")</f>
        <v>Lucrezia Blanca        Morra</v>
      </c>
      <c r="BL15" s="36" t="str">
        <f>IFERROR(__xludf.DUMMYFUNCTION("""COMPUTED_VALUE"""),"Florenz Levian        Krauß")</f>
        <v>Florenz Levian        Krauß</v>
      </c>
      <c r="BM15" s="38" t="str">
        <f>IFERROR(__xludf.DUMMYFUNCTION("""COMPUTED_VALUE"""),"Nguyen (Vivienne) Thao Phuong")</f>
        <v>Nguyen (Vivienne) Thao Phuong</v>
      </c>
      <c r="BN15" s="38" t="str">
        <f>IFERROR(__xludf.DUMMYFUNCTION("""COMPUTED_VALUE"""),"Oluwafamisoke Oluwadunbarin	Olatunbosun")</f>
        <v>Oluwafamisoke Oluwadunbarin	Olatunbosun</v>
      </c>
      <c r="BO15" s="38" t="str">
        <f>IFERROR(__xludf.DUMMYFUNCTION("""COMPUTED_VALUE"""),"Naya	Niedermayr")</f>
        <v>Naya	Niedermayr</v>
      </c>
      <c r="BP15" s="39"/>
      <c r="BQ15" s="38" t="str">
        <f>IFERROR(__xludf.DUMMYFUNCTION("""COMPUTED_VALUE"""),"Oluwajomiloju Jedidah	Thorpe")</f>
        <v>Oluwajomiloju Jedidah	Thorpe</v>
      </c>
      <c r="BR15" s="38" t="str">
        <f>IFERROR(__xludf.DUMMYFUNCTION("""COMPUTED_VALUE"""),"Jorge Alexander	Rivero Añez")</f>
        <v>Jorge Alexander	Rivero Añez</v>
      </c>
      <c r="BS15" s="38" t="str">
        <f>IFERROR(__xludf.DUMMYFUNCTION("""COMPUTED_VALUE"""),"Olivia	Moe-Jordan")</f>
        <v>Olivia	Moe-Jordan</v>
      </c>
    </row>
    <row r="16">
      <c r="A16" s="27">
        <f>IFERROR(__xludf.DUMMYFUNCTION("""COMPUTED_VALUE"""),9.0)</f>
        <v>9</v>
      </c>
      <c r="B16" s="28" t="str">
        <f>IFERROR(__xludf.DUMMYFUNCTION("""COMPUTED_VALUE"""),"Lydia Elizabeth Gathoni Cummins-Mburu")</f>
        <v>Lydia Elizabeth Gathoni Cummins-Mburu</v>
      </c>
      <c r="C16" s="41" t="str">
        <f>IFERROR(__xludf.DUMMYFUNCTION("""COMPUTED_VALUE"""),"Olivia Moe-Jordan")</f>
        <v>Olivia Moe-Jordan</v>
      </c>
      <c r="D16" s="30"/>
      <c r="E16" s="30"/>
      <c r="F16" s="30"/>
      <c r="G16" s="31" t="str">
        <f>IFERROR(__xludf.DUMMYFUNCTION("""COMPUTED_VALUE"""),"Oluwafamisoke Oluwadunbarin Olatunbosun")</f>
        <v>Oluwafamisoke Oluwadunbarin Olatunbosun</v>
      </c>
      <c r="H16" s="30"/>
      <c r="I16" s="31" t="str">
        <f>IFERROR(__xludf.DUMMYFUNCTION("""COMPUTED_VALUE"""),"Kartik Bedi")</f>
        <v>Kartik Bedi</v>
      </c>
      <c r="J16" s="33"/>
      <c r="K16" s="30"/>
      <c r="L16" s="70"/>
      <c r="M16" s="35"/>
      <c r="N16" s="34" t="str">
        <f>IFERROR(__xludf.DUMMYFUNCTION("""COMPUTED_VALUE"""),"Ximena Rosalyn	Ventura Diaz")</f>
        <v>Ximena Rosalyn	Ventura Diaz</v>
      </c>
      <c r="O16" s="35"/>
      <c r="P16" s="34" t="str">
        <f>IFERROR(__xludf.DUMMYFUNCTION("""COMPUTED_VALUE"""),"Isabela	Aurélio de Vargas")</f>
        <v>Isabela	Aurélio de Vargas</v>
      </c>
      <c r="Q16" s="71" t="str">
        <f>IFERROR(__xludf.DUMMYFUNCTION("""COMPUTED_VALUE"""),"Ronja        Grundig")</f>
        <v>Ronja        Grundig</v>
      </c>
      <c r="R16" s="35"/>
      <c r="S16" s="34" t="str">
        <f>IFERROR(__xludf.DUMMYFUNCTION("""COMPUTED_VALUE"""),"Kiran	Wilcke")</f>
        <v>Kiran	Wilcke</v>
      </c>
      <c r="T16" s="35"/>
      <c r="U16" s="34" t="str">
        <f>IFERROR(__xludf.DUMMYFUNCTION("""COMPUTED_VALUE"""),"Rosmeily de Jesús	Reyes")</f>
        <v>Rosmeily de Jesús	Reyes</v>
      </c>
      <c r="V16" s="72"/>
      <c r="W16" s="73" t="str">
        <f>IFERROR(__xludf.DUMMYFUNCTION("""COMPUTED_VALUE"""),"Eddie Xi")</f>
        <v>Eddie Xi</v>
      </c>
      <c r="X16" s="36" t="str">
        <f>IFERROR(__xludf.DUMMYFUNCTION("""COMPUTED_VALUE"""),"Alejandro Daniel Portillo Cabral")</f>
        <v>Alejandro Daniel Portillo Cabral</v>
      </c>
      <c r="Y16" s="48"/>
      <c r="Z16" s="36" t="str">
        <f>IFERROR(__xludf.DUMMYFUNCTION("""COMPUTED_VALUE"""),"Julian	Waszink Miller")</f>
        <v>Julian	Waszink Miller</v>
      </c>
      <c r="AA16" s="48"/>
      <c r="AB16" s="36" t="str">
        <f>IFERROR(__xludf.DUMMYFUNCTION("""COMPUTED_VALUE"""),"Isabela	Aurélio de Vargas")</f>
        <v>Isabela	Aurélio de Vargas</v>
      </c>
      <c r="AC16" s="48"/>
      <c r="AD16" s="36" t="str">
        <f>IFERROR(__xludf.DUMMYFUNCTION("""COMPUTED_VALUE"""),"Pedro	Ortuño García")</f>
        <v>Pedro	Ortuño García</v>
      </c>
      <c r="AE16" s="36" t="str">
        <f>IFERROR(__xludf.DUMMYFUNCTION("""COMPUTED_VALUE"""),"Kris Xavier	Sealy")</f>
        <v>Kris Xavier	Sealy</v>
      </c>
      <c r="AF16" s="36" t="str">
        <f>IFERROR(__xludf.DUMMYFUNCTION("""COMPUTED_VALUE"""),"Pia  de Ville de Goyet")</f>
        <v>Pia  de Ville de Goyet</v>
      </c>
      <c r="AG16" s="39" t="str">
        <f>IFERROR(__xludf.DUMMYFUNCTION("""COMPUTED_VALUE"""),"Pia        de Ville de Goyet")</f>
        <v>Pia        de Ville de Goyet</v>
      </c>
      <c r="AH16" s="38" t="str">
        <f>IFERROR(__xludf.DUMMYFUNCTION("""COMPUTED_VALUE"""),"Klaudia	Wyrębkowska")</f>
        <v>Klaudia	Wyrębkowska</v>
      </c>
      <c r="AI16" s="39"/>
      <c r="AJ16" s="38" t="str">
        <f>IFERROR(__xludf.DUMMYFUNCTION("""COMPUTED_VALUE"""),"Min Fu (Mark)	Huang")</f>
        <v>Min Fu (Mark)	Huang</v>
      </c>
      <c r="AK16" s="39"/>
      <c r="AL16" s="67" t="str">
        <f>IFERROR(__xludf.DUMMYFUNCTION("""COMPUTED_VALUE"""),"Eddie Xi")</f>
        <v>Eddie Xi</v>
      </c>
      <c r="AM16" s="39"/>
      <c r="AN16" s="39"/>
      <c r="AO16" s="39"/>
      <c r="AP16" s="39"/>
      <c r="AQ16" s="74"/>
      <c r="AR16" s="31" t="str">
        <f>IFERROR(__xludf.DUMMYFUNCTION("""COMPUTED_VALUE"""),"Hsuan-Hao        Chang")</f>
        <v>Hsuan-Hao        Chang</v>
      </c>
      <c r="AS16" s="31" t="str">
        <f>IFERROR(__xludf.DUMMYFUNCTION("""COMPUTED_VALUE"""),"Kyle        Imani")</f>
        <v>Kyle        Imani</v>
      </c>
      <c r="AT16" s="30"/>
      <c r="AU16" s="31" t="str">
        <f>IFERROR(__xludf.DUMMYFUNCTION("""COMPUTED_VALUE"""),"Grete Mika        Gollenbeck")</f>
        <v>Grete Mika        Gollenbeck</v>
      </c>
      <c r="AV16" s="33"/>
      <c r="AW16" s="31" t="str">
        <f>IFERROR(__xludf.DUMMYFUNCTION("""COMPUTED_VALUE"""),"Yannis Christian        Erni")</f>
        <v>Yannis Christian        Erni</v>
      </c>
      <c r="AX16" s="34" t="str">
        <f>IFERROR(__xludf.DUMMYFUNCTION("""COMPUTED_VALUE"""),"Leo Mark        Gibson Davies")</f>
        <v>Leo Mark        Gibson Davies</v>
      </c>
      <c r="AY16" s="35"/>
      <c r="AZ16" s="34" t="str">
        <f>IFERROR(__xludf.DUMMYFUNCTION("""COMPUTED_VALUE"""),"Tenzin	Jigme")</f>
        <v>Tenzin	Jigme</v>
      </c>
      <c r="BA16" s="34" t="str">
        <f>IFERROR(__xludf.DUMMYFUNCTION("""COMPUTED_VALUE"""),"Daniel Alejandro	Aparicio Canales")</f>
        <v>Daniel Alejandro	Aparicio Canales</v>
      </c>
      <c r="BB16" s="34" t="str">
        <f>IFERROR(__xludf.DUMMYFUNCTION("""COMPUTED_VALUE"""),"Berber	de Greef")</f>
        <v>Berber	de Greef</v>
      </c>
      <c r="BC16" s="34" t="str">
        <f>IFERROR(__xludf.DUMMYFUNCTION("""COMPUTED_VALUE"""),"Tilda	Gaspar")</f>
        <v>Tilda	Gaspar</v>
      </c>
      <c r="BD16" s="62"/>
      <c r="BE16" s="34" t="str">
        <f>IFERROR(__xludf.DUMMYFUNCTION("""COMPUTED_VALUE"""),"Kiran	Wilcke")</f>
        <v>Kiran	Wilcke</v>
      </c>
      <c r="BF16" s="36" t="str">
        <f>IFERROR(__xludf.DUMMYFUNCTION("""COMPUTED_VALUE"""),"Maitreyi Manoj	Nair")</f>
        <v>Maitreyi Manoj	Nair</v>
      </c>
      <c r="BG16" s="36" t="str">
        <f>IFERROR(__xludf.DUMMYFUNCTION("""COMPUTED_VALUE"""),"Eaint Htar Wazin        Aung")</f>
        <v>Eaint Htar Wazin        Aung</v>
      </c>
      <c r="BH16" s="48"/>
      <c r="BI16" s="36" t="str">
        <f>IFERROR(__xludf.DUMMYFUNCTION("""COMPUTED_VALUE"""),"Juliana        Montarsolo")</f>
        <v>Juliana        Montarsolo</v>
      </c>
      <c r="BJ16" s="36" t="str">
        <f>IFERROR(__xludf.DUMMYFUNCTION("""COMPUTED_VALUE"""),"Oliver        Peña")</f>
        <v>Oliver        Peña</v>
      </c>
      <c r="BK16" s="36" t="str">
        <f>IFERROR(__xludf.DUMMYFUNCTION("""COMPUTED_VALUE"""),"Pia  de Ville de Goyet")</f>
        <v>Pia  de Ville de Goyet</v>
      </c>
      <c r="BL16" s="36" t="str">
        <f>IFERROR(__xludf.DUMMYFUNCTION("""COMPUTED_VALUE"""),"Jade Yixuan        Wang")</f>
        <v>Jade Yixuan        Wang</v>
      </c>
      <c r="BM16" s="38" t="str">
        <f>IFERROR(__xludf.DUMMYFUNCTION("""COMPUTED_VALUE"""),"Pamela	Solís Arias")</f>
        <v>Pamela	Solís Arias</v>
      </c>
      <c r="BN16" s="38" t="str">
        <f>IFERROR(__xludf.DUMMYFUNCTION("""COMPUTED_VALUE"""),"Tenzin	Jigme")</f>
        <v>Tenzin	Jigme</v>
      </c>
      <c r="BO16" s="38" t="str">
        <f>IFERROR(__xludf.DUMMYFUNCTION("""COMPUTED_VALUE"""),"Pia	de Ville de Goyet")</f>
        <v>Pia	de Ville de Goyet</v>
      </c>
      <c r="BP16" s="39"/>
      <c r="BQ16" s="61" t="str">
        <f>IFERROR(__xludf.DUMMYFUNCTION("""COMPUTED_VALUE"""),"Salomé d'Aboville")</f>
        <v>Salomé d'Aboville</v>
      </c>
      <c r="BR16" s="38" t="str">
        <f>IFERROR(__xludf.DUMMYFUNCTION("""COMPUTED_VALUE"""),"Kristhel Gabriela	Ayapán Balcárcel")</f>
        <v>Kristhel Gabriela	Ayapán Balcárcel</v>
      </c>
      <c r="BS16" s="38" t="str">
        <f>IFERROR(__xludf.DUMMYFUNCTION("""COMPUTED_VALUE"""),"Isabela        Aurélio de Vargas")</f>
        <v>Isabela        Aurélio de Vargas</v>
      </c>
    </row>
    <row r="17">
      <c r="A17" s="27">
        <f>IFERROR(__xludf.DUMMYFUNCTION("""COMPUTED_VALUE"""),10.0)</f>
        <v>10</v>
      </c>
      <c r="B17" s="31" t="str">
        <f>IFERROR(__xludf.DUMMYFUNCTION("""COMPUTED_VALUE"""),"Naya Niedermayr")</f>
        <v>Naya Niedermayr</v>
      </c>
      <c r="C17" s="41" t="str">
        <f>IFERROR(__xludf.DUMMYFUNCTION("""COMPUTED_VALUE"""),"Tilda        Gaspar")</f>
        <v>Tilda        Gaspar</v>
      </c>
      <c r="D17" s="30"/>
      <c r="E17" s="30"/>
      <c r="F17" s="30"/>
      <c r="G17" s="31" t="str">
        <f>IFERROR(__xludf.DUMMYFUNCTION("""COMPUTED_VALUE"""),"Pedro Ortuño García")</f>
        <v>Pedro Ortuño García</v>
      </c>
      <c r="H17" s="30"/>
      <c r="I17" s="30"/>
      <c r="J17" s="30"/>
      <c r="K17" s="30"/>
      <c r="L17" s="75"/>
      <c r="M17" s="35"/>
      <c r="N17" s="34" t="str">
        <f>IFERROR(__xludf.DUMMYFUNCTION("""COMPUTED_VALUE"""),"Sofía Mercado Gómez")</f>
        <v>Sofía Mercado Gómez</v>
      </c>
      <c r="O17" s="35"/>
      <c r="P17" s="34" t="str">
        <f>IFERROR(__xludf.DUMMYFUNCTION("""COMPUTED_VALUE"""),"Aoife Jassami	Wade")</f>
        <v>Aoife Jassami	Wade</v>
      </c>
      <c r="Q17" s="35"/>
      <c r="R17" s="35"/>
      <c r="S17" s="34" t="str">
        <f>IFERROR(__xludf.DUMMYFUNCTION("""COMPUTED_VALUE"""),"Tara	van Wijk")</f>
        <v>Tara	van Wijk</v>
      </c>
      <c r="T17" s="35"/>
      <c r="U17" s="34" t="str">
        <f>IFERROR(__xludf.DUMMYFUNCTION("""COMPUTED_VALUE"""),"Lucrezia Blanca	Morra")</f>
        <v>Lucrezia Blanca	Morra</v>
      </c>
      <c r="V17" s="35"/>
      <c r="W17" s="34" t="str">
        <f>IFERROR(__xludf.DUMMYFUNCTION("""COMPUTED_VALUE"""),"Mung Hkawng	Ja Ngai")</f>
        <v>Mung Hkawng	Ja Ngai</v>
      </c>
      <c r="X17" s="52" t="str">
        <f>IFERROR(__xludf.DUMMYFUNCTION("""COMPUTED_VALUE"""),"Ying Nam Aung")</f>
        <v>Ying Nam Aung</v>
      </c>
      <c r="Y17" s="48"/>
      <c r="Z17" s="36" t="str">
        <f>IFERROR(__xludf.DUMMYFUNCTION("""COMPUTED_VALUE"""),"Lucrezia Blanca	Morra")</f>
        <v>Lucrezia Blanca	Morra</v>
      </c>
      <c r="AA17" s="48"/>
      <c r="AB17" s="36" t="str">
        <f>IFERROR(__xludf.DUMMYFUNCTION("""COMPUTED_VALUE"""),"Jade Yixuan	Wang")</f>
        <v>Jade Yixuan	Wang</v>
      </c>
      <c r="AC17" s="48"/>
      <c r="AD17" s="36" t="str">
        <f>IFERROR(__xludf.DUMMYFUNCTION("""COMPUTED_VALUE"""),"Ronja	Grundig")</f>
        <v>Ronja	Grundig</v>
      </c>
      <c r="AE17" s="36" t="str">
        <f>IFERROR(__xludf.DUMMYFUNCTION("""COMPUTED_VALUE"""),"Kyle	Imani")</f>
        <v>Kyle	Imani</v>
      </c>
      <c r="AF17" s="36" t="str">
        <f>IFERROR(__xludf.DUMMYFUNCTION("""COMPUTED_VALUE"""),"Agne Mečkovskytė")</f>
        <v>Agne Mečkovskytė</v>
      </c>
      <c r="AG17" s="39"/>
      <c r="AH17" s="38" t="str">
        <f>IFERROR(__xludf.DUMMYFUNCTION("""COMPUTED_VALUE"""),"Ximena Rosalyn	Ventura Diaz")</f>
        <v>Ximena Rosalyn	Ventura Diaz</v>
      </c>
      <c r="AI17" s="39"/>
      <c r="AJ17" s="38" t="str">
        <f>IFERROR(__xludf.DUMMYFUNCTION("""COMPUTED_VALUE"""),"Tahmina	Tamim")</f>
        <v>Tahmina	Tamim</v>
      </c>
      <c r="AK17" s="39"/>
      <c r="AL17" s="38" t="str">
        <f>IFERROR(__xludf.DUMMYFUNCTION("""COMPUTED_VALUE"""),"Oluwajomiloju Jedidah	Thorpe")</f>
        <v>Oluwajomiloju Jedidah	Thorpe</v>
      </c>
      <c r="AM17" s="39"/>
      <c r="AN17" s="39"/>
      <c r="AO17" s="39"/>
      <c r="AP17" s="39"/>
      <c r="AQ17" s="39"/>
      <c r="AR17" s="31" t="str">
        <f>IFERROR(__xludf.DUMMYFUNCTION("""COMPUTED_VALUE"""),"Jessica Lee        Hayduk")</f>
        <v>Jessica Lee        Hayduk</v>
      </c>
      <c r="AS17" s="31" t="str">
        <f>IFERROR(__xludf.DUMMYFUNCTION("""COMPUTED_VALUE"""),"Nguyen Thao        Phuong")</f>
        <v>Nguyen Thao        Phuong</v>
      </c>
      <c r="AT17" s="30"/>
      <c r="AU17" s="31" t="str">
        <f>IFERROR(__xludf.DUMMYFUNCTION("""COMPUTED_VALUE"""),"Florenz Levian        Krauß")</f>
        <v>Florenz Levian        Krauß</v>
      </c>
      <c r="AV17" s="30"/>
      <c r="AW17" s="31" t="str">
        <f>IFERROR(__xludf.DUMMYFUNCTION("""COMPUTED_VALUE"""),"Yao Wei        Zheng He")</f>
        <v>Yao Wei        Zheng He</v>
      </c>
      <c r="AX17" s="34" t="str">
        <f>IFERROR(__xludf.DUMMYFUNCTION("""COMPUTED_VALUE"""),"Chieh-Ni (Janice) Yang")</f>
        <v>Chieh-Ni (Janice) Yang</v>
      </c>
      <c r="AY17" s="76"/>
      <c r="AZ17" s="34" t="str">
        <f>IFERROR(__xludf.DUMMYFUNCTION("""COMPUTED_VALUE"""),"Ximena Rosalyn	Ventura Diaz")</f>
        <v>Ximena Rosalyn	Ventura Diaz</v>
      </c>
      <c r="BA17" s="35"/>
      <c r="BB17" s="34" t="str">
        <f>IFERROR(__xludf.DUMMYFUNCTION("""COMPUTED_VALUE"""),"Lydia Elizabeth Gathoni Cummins-Mburu")</f>
        <v>Lydia Elizabeth Gathoni Cummins-Mburu</v>
      </c>
      <c r="BC17" s="34" t="str">
        <f>IFERROR(__xludf.DUMMYFUNCTION("""COMPUTED_VALUE"""),"Olivia        Moe-Jordan")</f>
        <v>Olivia        Moe-Jordan</v>
      </c>
      <c r="BD17" s="70"/>
      <c r="BE17" s="34" t="str">
        <f>IFERROR(__xludf.DUMMYFUNCTION("""COMPUTED_VALUE"""),"Aoife Jassami	Wade")</f>
        <v>Aoife Jassami	Wade</v>
      </c>
      <c r="BF17" s="77" t="str">
        <f>IFERROR(__xludf.DUMMYFUNCTION("""COMPUTED_VALUE"""),"Imran Tahiri")</f>
        <v>Imran Tahiri</v>
      </c>
      <c r="BG17" s="37" t="str">
        <f>IFERROR(__xludf.DUMMYFUNCTION("""COMPUTED_VALUE"""),"Salomé d'Aboville")</f>
        <v>Salomé d'Aboville</v>
      </c>
      <c r="BH17" s="78"/>
      <c r="BI17" s="36" t="str">
        <f>IFERROR(__xludf.DUMMYFUNCTION("""COMPUTED_VALUE"""),"Nguyen Thao        Phuong")</f>
        <v>Nguyen Thao        Phuong</v>
      </c>
      <c r="BJ17" s="36" t="str">
        <f>IFERROR(__xludf.DUMMYFUNCTION("""COMPUTED_VALUE"""),"Pamela        Solís Arias")</f>
        <v>Pamela        Solís Arias</v>
      </c>
      <c r="BK17" s="36" t="str">
        <f>IFERROR(__xludf.DUMMYFUNCTION("""COMPUTED_VALUE"""),"Min Fu (Mark)        Huang")</f>
        <v>Min Fu (Mark)        Huang</v>
      </c>
      <c r="BL17" s="52" t="str">
        <f>IFERROR(__xludf.DUMMYFUNCTION("""COMPUTED_VALUE"""),"Josie May        Thomas")</f>
        <v>Josie May        Thomas</v>
      </c>
      <c r="BM17" s="38" t="str">
        <f>IFERROR(__xludf.DUMMYFUNCTION("""COMPUTED_VALUE"""),"Yao Wei	Zheng He")</f>
        <v>Yao Wei	Zheng He</v>
      </c>
      <c r="BN17" s="38" t="str">
        <f>IFERROR(__xludf.DUMMYFUNCTION("""COMPUTED_VALUE"""),"Aryaka        Bist")</f>
        <v>Aryaka        Bist</v>
      </c>
      <c r="BO17" s="38" t="str">
        <f>IFERROR(__xludf.DUMMYFUNCTION("""COMPUTED_VALUE"""),"Sofia	Tomasikova")</f>
        <v>Sofia	Tomasikova</v>
      </c>
      <c r="BP17" s="55"/>
      <c r="BQ17" s="38" t="str">
        <f>IFERROR(__xludf.DUMMYFUNCTION("""COMPUTED_VALUE"""),"Isaac        Sekagya")</f>
        <v>Isaac        Sekagya</v>
      </c>
      <c r="BR17" s="38" t="str">
        <f>IFERROR(__xludf.DUMMYFUNCTION("""COMPUTED_VALUE"""),"Oliver	Peña")</f>
        <v>Oliver	Peña</v>
      </c>
      <c r="BS17" s="38" t="str">
        <f>IFERROR(__xludf.DUMMYFUNCTION("""COMPUTED_VALUE"""),"Xiaoshi (Stone)        ZHAO")</f>
        <v>Xiaoshi (Stone)        ZHAO</v>
      </c>
    </row>
    <row r="18">
      <c r="A18" s="27">
        <f>IFERROR(__xludf.DUMMYFUNCTION("""COMPUTED_VALUE"""),11.0)</f>
        <v>11</v>
      </c>
      <c r="B18" s="41" t="str">
        <f>IFERROR(__xludf.DUMMYFUNCTION("""COMPUTED_VALUE"""),"Aunati Kumar")</f>
        <v>Aunati Kumar</v>
      </c>
      <c r="C18" s="41" t="str">
        <f>IFERROR(__xludf.DUMMYFUNCTION("""COMPUTED_VALUE"""),"Ulrich        Mohrhdart Doger")</f>
        <v>Ulrich        Mohrhdart Doger</v>
      </c>
      <c r="D18" s="30"/>
      <c r="E18" s="30"/>
      <c r="F18" s="30"/>
      <c r="G18" s="51" t="str">
        <f>IFERROR(__xludf.DUMMYFUNCTION("""COMPUTED_VALUE"""),"Tenzin  Jigme")</f>
        <v>Tenzin  Jigme</v>
      </c>
      <c r="H18" s="30"/>
      <c r="I18" s="31" t="str">
        <f>IFERROR(__xludf.DUMMYFUNCTION("""COMPUTED_VALUE"""),"Pamela Solís Arias")</f>
        <v>Pamela Solís Arias</v>
      </c>
      <c r="J18" s="30"/>
      <c r="K18" s="30"/>
      <c r="L18" s="35"/>
      <c r="M18" s="35"/>
      <c r="N18" s="34" t="str">
        <f>IFERROR(__xludf.DUMMYFUNCTION("""COMPUTED_VALUE"""),"Jafeth	Suarez Calderón")</f>
        <v>Jafeth	Suarez Calderón</v>
      </c>
      <c r="O18" s="35"/>
      <c r="P18" s="70"/>
      <c r="Q18" s="35"/>
      <c r="R18" s="35"/>
      <c r="S18" s="34" t="str">
        <f>IFERROR(__xludf.DUMMYFUNCTION("""COMPUTED_VALUE"""),"Kris Xavier	Sealy")</f>
        <v>Kris Xavier	Sealy</v>
      </c>
      <c r="T18" s="35"/>
      <c r="U18" s="70"/>
      <c r="V18" s="70"/>
      <c r="W18" s="34" t="str">
        <f>IFERROR(__xludf.DUMMYFUNCTION("""COMPUTED_VALUE"""),"Oluwajomiloju Jedidah	Thorpe")</f>
        <v>Oluwajomiloju Jedidah	Thorpe</v>
      </c>
      <c r="X18" s="48"/>
      <c r="Y18" s="48"/>
      <c r="Z18" s="36" t="str">
        <f>IFERROR(__xludf.DUMMYFUNCTION("""COMPUTED_VALUE"""),"Maxime	De Corioli")</f>
        <v>Maxime	De Corioli</v>
      </c>
      <c r="AA18" s="48"/>
      <c r="AB18" s="36" t="str">
        <f>IFERROR(__xludf.DUMMYFUNCTION("""COMPUTED_VALUE"""),"Juliana	Montarsolo")</f>
        <v>Juliana	Montarsolo</v>
      </c>
      <c r="AC18" s="48"/>
      <c r="AD18" s="36" t="str">
        <f>IFERROR(__xludf.DUMMYFUNCTION("""COMPUTED_VALUE"""),"Aoife Jassami Wade")</f>
        <v>Aoife Jassami Wade</v>
      </c>
      <c r="AE18" s="36" t="str">
        <f>IFERROR(__xludf.DUMMYFUNCTION("""COMPUTED_VALUE"""),"Oluwafamisoke Oluwadunbarin	Olatunbosun")</f>
        <v>Oluwafamisoke Oluwadunbarin	Olatunbosun</v>
      </c>
      <c r="AF18" s="36" t="str">
        <f>IFERROR(__xludf.DUMMYFUNCTION("""COMPUTED_VALUE"""),"Nguyen (Vivienne) Thao Phuong")</f>
        <v>Nguyen (Vivienne) Thao Phuong</v>
      </c>
      <c r="AG18" s="39"/>
      <c r="AH18" s="38" t="str">
        <f>IFERROR(__xludf.DUMMYFUNCTION("""COMPUTED_VALUE"""),"Alina Araya Hernández")</f>
        <v>Alina Araya Hernández</v>
      </c>
      <c r="AI18" s="55"/>
      <c r="AJ18" s="79" t="str">
        <f>IFERROR(__xludf.DUMMYFUNCTION("""COMPUTED_VALUE"""),"Ulrich	Mohrhdart Doger")</f>
        <v>Ulrich	Mohrhdart Doger</v>
      </c>
      <c r="AK18" s="39"/>
      <c r="AL18" s="38" t="str">
        <f>IFERROR(__xludf.DUMMYFUNCTION("""COMPUTED_VALUE"""),"Ventsislav	Dinkov")</f>
        <v>Ventsislav	Dinkov</v>
      </c>
      <c r="AM18" s="39"/>
      <c r="AN18" s="39"/>
      <c r="AO18" s="39"/>
      <c r="AP18" s="39"/>
      <c r="AQ18" s="39"/>
      <c r="AR18" s="30"/>
      <c r="AS18" s="31" t="str">
        <f>IFERROR(__xludf.DUMMYFUNCTION("""COMPUTED_VALUE"""),"Oluwajomiloju Jedidah        Thorpe")</f>
        <v>Oluwajomiloju Jedidah        Thorpe</v>
      </c>
      <c r="AT18" s="30"/>
      <c r="AU18" s="42" t="str">
        <f>IFERROR(__xludf.DUMMYFUNCTION("""COMPUTED_VALUE"""),"Ignacio        Oreamuno Alpizar")</f>
        <v>Ignacio        Oreamuno Alpizar</v>
      </c>
      <c r="AV18" s="30"/>
      <c r="AW18" s="31" t="str">
        <f>IFERROR(__xludf.DUMMYFUNCTION("""COMPUTED_VALUE"""),"Xiaoshi (Stone)        ZHAO")</f>
        <v>Xiaoshi (Stone)        ZHAO</v>
      </c>
      <c r="AX18" s="47"/>
      <c r="AY18" s="76"/>
      <c r="AZ18" s="34" t="str">
        <f>IFERROR(__xludf.DUMMYFUNCTION("""COMPUTED_VALUE"""),"Agne Mečkovskytė")</f>
        <v>Agne Mečkovskytė</v>
      </c>
      <c r="BA18" s="35"/>
      <c r="BB18" s="34" t="str">
        <f>IFERROR(__xludf.DUMMYFUNCTION("""COMPUTED_VALUE"""),"Josie May        Thomas")</f>
        <v>Josie May        Thomas</v>
      </c>
      <c r="BC18" s="34" t="str">
        <f>IFERROR(__xludf.DUMMYFUNCTION("""COMPUTED_VALUE"""),"Tara	van Wijk")</f>
        <v>Tara	van Wijk</v>
      </c>
      <c r="BD18" s="80"/>
      <c r="BE18" s="73" t="str">
        <f>IFERROR(__xludf.DUMMYFUNCTION("""COMPUTED_VALUE"""),"Ronja	Grundig")</f>
        <v>Ronja	Grundig</v>
      </c>
      <c r="BF18" s="81"/>
      <c r="BG18" s="82"/>
      <c r="BH18" s="48"/>
      <c r="BI18" s="36" t="str">
        <f>IFERROR(__xludf.DUMMYFUNCTION("""COMPUTED_VALUE"""),"Olivia        Moe-Jordan")</f>
        <v>Olivia        Moe-Jordan</v>
      </c>
      <c r="BJ18" s="36" t="str">
        <f>IFERROR(__xludf.DUMMYFUNCTION("""COMPUTED_VALUE"""),"Rosmeily de Jesús        Reyes")</f>
        <v>Rosmeily de Jesús        Reyes</v>
      </c>
      <c r="BK18" s="36" t="str">
        <f>IFERROR(__xludf.DUMMYFUNCTION("""COMPUTED_VALUE"""),"Naya        Niedermayr")</f>
        <v>Naya        Niedermayr</v>
      </c>
      <c r="BL18" s="66" t="str">
        <f>IFERROR(__xludf.DUMMYFUNCTION("""COMPUTED_VALUE"""),"Jules        Melgaard")</f>
        <v>Jules        Melgaard</v>
      </c>
      <c r="BM18" s="39"/>
      <c r="BN18" s="38" t="str">
        <f>IFERROR(__xludf.DUMMYFUNCTION("""COMPUTED_VALUE"""),"Eaint Htar Wazin        Aung")</f>
        <v>Eaint Htar Wazin        Aung</v>
      </c>
      <c r="BO18" s="38" t="str">
        <f>IFERROR(__xludf.DUMMYFUNCTION("""COMPUTED_VALUE"""),"Filip	Suchanski")</f>
        <v>Filip	Suchanski</v>
      </c>
      <c r="BP18" s="39"/>
      <c r="BQ18" s="38" t="str">
        <f>IFERROR(__xludf.DUMMYFUNCTION("""COMPUTED_VALUE"""),"Kirabo	Mugambwa")</f>
        <v>Kirabo	Mugambwa</v>
      </c>
      <c r="BR18" s="38" t="str">
        <f>IFERROR(__xludf.DUMMYFUNCTION("""COMPUTED_VALUE"""),"Rosmeily de Jesús	Reyes")</f>
        <v>Rosmeily de Jesús	Reyes</v>
      </c>
      <c r="BS18" s="38" t="str">
        <f>IFERROR(__xludf.DUMMYFUNCTION("""COMPUTED_VALUE"""),"Tilda	Gaspar")</f>
        <v>Tilda	Gaspar</v>
      </c>
    </row>
    <row r="19">
      <c r="A19" s="27">
        <f>IFERROR(__xludf.DUMMYFUNCTION("""COMPUTED_VALUE"""),12.0)</f>
        <v>12</v>
      </c>
      <c r="B19" s="31" t="str">
        <f>IFERROR(__xludf.DUMMYFUNCTION("""COMPUTED_VALUE"""),"Chinoyerem Miracle Onyegbula")</f>
        <v>Chinoyerem Miracle Onyegbula</v>
      </c>
      <c r="C19" s="41" t="str">
        <f>IFERROR(__xludf.DUMMYFUNCTION("""COMPUTED_VALUE"""),"Anya        Opal")</f>
        <v>Anya        Opal</v>
      </c>
      <c r="D19" s="30"/>
      <c r="E19" s="30"/>
      <c r="F19" s="30"/>
      <c r="G19" s="42" t="str">
        <f>IFERROR(__xludf.DUMMYFUNCTION("""COMPUTED_VALUE"""),"Ventsislav        Dinkov")</f>
        <v>Ventsislav        Dinkov</v>
      </c>
      <c r="H19" s="30"/>
      <c r="I19" s="31" t="str">
        <f>IFERROR(__xludf.DUMMYFUNCTION("""COMPUTED_VALUE"""),"Pia de Ville de Goyet")</f>
        <v>Pia de Ville de Goyet</v>
      </c>
      <c r="J19" s="30"/>
      <c r="K19" s="30"/>
      <c r="L19" s="35"/>
      <c r="M19" s="35"/>
      <c r="N19" s="34" t="str">
        <f>IFERROR(__xludf.DUMMYFUNCTION("""COMPUTED_VALUE"""),"Jorge Alexander	Rivero Añez")</f>
        <v>Jorge Alexander	Rivero Añez</v>
      </c>
      <c r="O19" s="35"/>
      <c r="P19" s="72"/>
      <c r="Q19" s="35"/>
      <c r="R19" s="35"/>
      <c r="S19" s="34" t="str">
        <f>IFERROR(__xludf.DUMMYFUNCTION("""COMPUTED_VALUE"""),"Maitreyi Manoj	Nair")</f>
        <v>Maitreyi Manoj	Nair</v>
      </c>
      <c r="T19" s="35"/>
      <c r="U19" s="35"/>
      <c r="V19" s="35"/>
      <c r="W19" s="34" t="str">
        <f>IFERROR(__xludf.DUMMYFUNCTION("""COMPUTED_VALUE"""),"Pedro Ortuño García")</f>
        <v>Pedro Ortuño García</v>
      </c>
      <c r="X19" s="48"/>
      <c r="Y19" s="48"/>
      <c r="Z19" s="36" t="str">
        <f>IFERROR(__xludf.DUMMYFUNCTION("""COMPUTED_VALUE"""),"Oliver	Peña")</f>
        <v>Oliver	Peña</v>
      </c>
      <c r="AA19" s="48"/>
      <c r="AB19" s="36" t="str">
        <f>IFERROR(__xludf.DUMMYFUNCTION("""COMPUTED_VALUE"""),"Leo Mark	Gibson Davies")</f>
        <v>Leo Mark	Gibson Davies</v>
      </c>
      <c r="AC19" s="48"/>
      <c r="AD19" s="49"/>
      <c r="AE19" s="36" t="str">
        <f>IFERROR(__xludf.DUMMYFUNCTION("""COMPUTED_VALUE"""),"Yannis Christian	Erni")</f>
        <v>Yannis Christian	Erni</v>
      </c>
      <c r="AF19" s="49"/>
      <c r="AG19" s="39"/>
      <c r="AH19" s="83" t="str">
        <f>IFERROR(__xludf.DUMMYFUNCTION("""COMPUTED_VALUE"""),"Tilda Gaspar")</f>
        <v>Tilda Gaspar</v>
      </c>
      <c r="AI19" s="39"/>
      <c r="AJ19" s="38" t="str">
        <f>IFERROR(__xludf.DUMMYFUNCTION("""COMPUTED_VALUE"""),"Emely Johanya	López Torres")</f>
        <v>Emely Johanya	López Torres</v>
      </c>
      <c r="AK19" s="39"/>
      <c r="AL19" s="84" t="str">
        <f>IFERROR(__xludf.DUMMYFUNCTION("""COMPUTED_VALUE"""),"Wenqing	LIANG")</f>
        <v>Wenqing	LIANG</v>
      </c>
      <c r="AM19" s="39"/>
      <c r="AN19" s="39"/>
      <c r="AO19" s="39"/>
      <c r="AP19" s="39"/>
      <c r="AQ19" s="39"/>
      <c r="AR19" s="31" t="str">
        <f>IFERROR(__xludf.DUMMYFUNCTION("""COMPUTED_VALUE"""),"Oliver        Peña")</f>
        <v>Oliver        Peña</v>
      </c>
      <c r="AS19" s="30"/>
      <c r="AT19" s="30"/>
      <c r="AU19" s="31" t="str">
        <f>IFERROR(__xludf.DUMMYFUNCTION("""COMPUTED_VALUE"""),"Isabela        Aurélio de Vargas")</f>
        <v>Isabela        Aurélio de Vargas</v>
      </c>
      <c r="AV19" s="30"/>
      <c r="AW19" s="31" t="str">
        <f>IFERROR(__xludf.DUMMYFUNCTION("""COMPUTED_VALUE"""),"Min Fu (Mark)	Huang")</f>
        <v>Min Fu (Mark)	Huang</v>
      </c>
      <c r="AX19" s="34" t="str">
        <f>IFERROR(__xludf.DUMMYFUNCTION("""COMPUTED_VALUE"""),"Ventsislav        Dinkov")</f>
        <v>Ventsislav        Dinkov</v>
      </c>
      <c r="AY19" s="72"/>
      <c r="AZ19" s="34" t="str">
        <f>IFERROR(__xludf.DUMMYFUNCTION("""COMPUTED_VALUE"""),"Filip Suchanski")</f>
        <v>Filip Suchanski</v>
      </c>
      <c r="BA19" s="35"/>
      <c r="BB19" s="34" t="str">
        <f>IFERROR(__xludf.DUMMYFUNCTION("""COMPUTED_VALUE"""),"Kyle	Imani")</f>
        <v>Kyle	Imani</v>
      </c>
      <c r="BC19" s="65" t="str">
        <f>IFERROR(__xludf.DUMMYFUNCTION("""COMPUTED_VALUE"""),"Salomé d'Aboville")</f>
        <v>Salomé d'Aboville</v>
      </c>
      <c r="BD19" s="35"/>
      <c r="BE19" s="34" t="str">
        <f>IFERROR(__xludf.DUMMYFUNCTION("""COMPUTED_VALUE"""),"Julian	Waszink Miller")</f>
        <v>Julian	Waszink Miller</v>
      </c>
      <c r="BF19" s="81"/>
      <c r="BG19" s="82"/>
      <c r="BH19" s="48"/>
      <c r="BI19" s="36" t="str">
        <f>IFERROR(__xludf.DUMMYFUNCTION("""COMPUTED_VALUE"""),"Sofia        Tomasikova")</f>
        <v>Sofia        Tomasikova</v>
      </c>
      <c r="BJ19" s="36" t="str">
        <f>IFERROR(__xludf.DUMMYFUNCTION("""COMPUTED_VALUE"""),"Ximena Rosalyn        Ventura Diaz")</f>
        <v>Ximena Rosalyn        Ventura Diaz</v>
      </c>
      <c r="BK19" s="82"/>
      <c r="BL19" s="36" t="str">
        <f>IFERROR(__xludf.DUMMYFUNCTION("""COMPUTED_VALUE"""),"Kris Xavier        Sealy")</f>
        <v>Kris Xavier        Sealy</v>
      </c>
      <c r="BM19" s="79"/>
      <c r="BN19" s="38" t="str">
        <f>IFERROR(__xludf.DUMMYFUNCTION("""COMPUTED_VALUE"""),"Ventsislav	Dinkov")</f>
        <v>Ventsislav	Dinkov</v>
      </c>
      <c r="BO19" s="38" t="str">
        <f>IFERROR(__xludf.DUMMYFUNCTION("""COMPUTED_VALUE"""),"Yannis Christian	Erni")</f>
        <v>Yannis Christian	Erni</v>
      </c>
      <c r="BP19" s="39"/>
      <c r="BQ19" s="53"/>
      <c r="BR19" s="38" t="str">
        <f>IFERROR(__xludf.DUMMYFUNCTION("""COMPUTED_VALUE"""),"Ximena Rosalyn	Ventura Diaz")</f>
        <v>Ximena Rosalyn	Ventura Diaz</v>
      </c>
      <c r="BS19" s="38" t="str">
        <f>IFERROR(__xludf.DUMMYFUNCTION("""COMPUTED_VALUE"""),"Sophia	Gehann")</f>
        <v>Sophia	Gehann</v>
      </c>
    </row>
    <row r="20">
      <c r="A20" s="27">
        <f>IFERROR(__xludf.DUMMYFUNCTION("""COMPUTED_VALUE"""),13.0)</f>
        <v>13</v>
      </c>
      <c r="B20" s="31" t="str">
        <f>IFERROR(__xludf.DUMMYFUNCTION("""COMPUTED_VALUE"""),"Kris Xavier	Sealy")</f>
        <v>Kris Xavier	Sealy</v>
      </c>
      <c r="C20" s="31" t="str">
        <f>IFERROR(__xludf.DUMMYFUNCTION("""COMPUTED_VALUE"""),"Alejandro Daniel Portillo Cabral")</f>
        <v>Alejandro Daniel Portillo Cabral</v>
      </c>
      <c r="D20" s="30"/>
      <c r="E20" s="30"/>
      <c r="F20" s="30"/>
      <c r="G20" s="31" t="str">
        <f>IFERROR(__xludf.DUMMYFUNCTION("""COMPUTED_VALUE"""),"Wenqing        LIANG")</f>
        <v>Wenqing        LIANG</v>
      </c>
      <c r="H20" s="30"/>
      <c r="I20" s="31" t="str">
        <f>IFERROR(__xludf.DUMMYFUNCTION("""COMPUTED_VALUE"""),"Tahmina        Tamim")</f>
        <v>Tahmina        Tamim</v>
      </c>
      <c r="J20" s="30"/>
      <c r="K20" s="30"/>
      <c r="L20" s="35"/>
      <c r="M20" s="35"/>
      <c r="N20" s="35"/>
      <c r="O20" s="35"/>
      <c r="P20" s="35"/>
      <c r="Q20" s="35"/>
      <c r="R20" s="35"/>
      <c r="S20" s="34" t="str">
        <f>IFERROR(__xludf.DUMMYFUNCTION("""COMPUTED_VALUE"""),"Nguyen Thao	Phuong")</f>
        <v>Nguyen Thao	Phuong</v>
      </c>
      <c r="T20" s="35"/>
      <c r="U20" s="35"/>
      <c r="V20" s="72"/>
      <c r="W20" s="73" t="str">
        <f>IFERROR(__xludf.DUMMYFUNCTION("""COMPUTED_VALUE"""),"Tenzin	Jigme")</f>
        <v>Tenzin	Jigme</v>
      </c>
      <c r="X20" s="48"/>
      <c r="Y20" s="48"/>
      <c r="Z20" s="36" t="str">
        <f>IFERROR(__xludf.DUMMYFUNCTION("""COMPUTED_VALUE"""),"Pamela	Solís Arias")</f>
        <v>Pamela	Solís Arias</v>
      </c>
      <c r="AA20" s="48"/>
      <c r="AB20" s="36" t="str">
        <f>IFERROR(__xludf.DUMMYFUNCTION("""COMPUTED_VALUE"""),"Lydia Elizabeth Gathoni	Cummins-Mburu")</f>
        <v>Lydia Elizabeth Gathoni	Cummins-Mburu</v>
      </c>
      <c r="AC20" s="48"/>
      <c r="AD20" s="48"/>
      <c r="AE20" s="36" t="str">
        <f>IFERROR(__xludf.DUMMYFUNCTION("""COMPUTED_VALUE"""),"Yao Wei	Zheng He")</f>
        <v>Yao Wei	Zheng He</v>
      </c>
      <c r="AF20" s="48"/>
      <c r="AG20" s="39"/>
      <c r="AH20" s="84" t="str">
        <f>IFERROR(__xludf.DUMMYFUNCTION("""COMPUTED_VALUE"""),"Benicio	Brzozowski")</f>
        <v>Benicio	Brzozowski</v>
      </c>
      <c r="AI20" s="39"/>
      <c r="AJ20" s="85" t="str">
        <f>IFERROR(__xludf.DUMMYFUNCTION("""COMPUTED_VALUE"""),"Jules        Melgaard")</f>
        <v>Jules        Melgaard</v>
      </c>
      <c r="AK20" s="39"/>
      <c r="AL20" s="38" t="str">
        <f>IFERROR(__xludf.DUMMYFUNCTION("""COMPUTED_VALUE"""),"Xiaoshi (Stone)	ZHAO")</f>
        <v>Xiaoshi (Stone)	ZHAO</v>
      </c>
      <c r="AM20" s="39"/>
      <c r="AN20" s="39"/>
      <c r="AO20" s="86"/>
      <c r="AP20" s="39"/>
      <c r="AQ20" s="39"/>
      <c r="AR20" s="31" t="str">
        <f>IFERROR(__xludf.DUMMYFUNCTION("""COMPUTED_VALUE"""),"Pedro        Ortuño García")</f>
        <v>Pedro        Ortuño García</v>
      </c>
      <c r="AS20" s="33"/>
      <c r="AT20" s="30"/>
      <c r="AU20" s="31" t="str">
        <f>IFERROR(__xludf.DUMMYFUNCTION("""COMPUTED_VALUE"""),"Klaudia        Wyrębkowska")</f>
        <v>Klaudia        Wyrębkowska</v>
      </c>
      <c r="AV20" s="30"/>
      <c r="AW20" s="56" t="str">
        <f>IFERROR(__xludf.DUMMYFUNCTION("""COMPUTED_VALUE"""),"Tara        van Wijk")</f>
        <v>Tara        van Wijk</v>
      </c>
      <c r="AX20" s="35"/>
      <c r="AY20" s="35"/>
      <c r="AZ20" s="87" t="str">
        <f>IFERROR(__xludf.DUMMYFUNCTION("""COMPUTED_VALUE"""),"Eddie Xi")</f>
        <v>Eddie Xi</v>
      </c>
      <c r="BA20" s="35"/>
      <c r="BB20" s="34" t="str">
        <f>IFERROR(__xludf.DUMMYFUNCTION("""COMPUTED_VALUE"""),"Oluwafamisoke Oluwadunbarin        Olatunbosun")</f>
        <v>Oluwafamisoke Oluwadunbarin        Olatunbosun</v>
      </c>
      <c r="BC20" s="35"/>
      <c r="BD20" s="47"/>
      <c r="BE20" s="34" t="str">
        <f>IFERROR(__xludf.DUMMYFUNCTION("""COMPUTED_VALUE"""),"Naya        Niedermayr")</f>
        <v>Naya        Niedermayr</v>
      </c>
      <c r="BF20" s="88"/>
      <c r="BG20" s="89"/>
      <c r="BH20" s="48"/>
      <c r="BI20" s="36" t="str">
        <f>IFERROR(__xludf.DUMMYFUNCTION("""COMPUTED_VALUE"""),"Tilda        Gaspar")</f>
        <v>Tilda        Gaspar</v>
      </c>
      <c r="BJ20" s="48" t="str">
        <f>IFERROR(__xludf.DUMMYFUNCTION("""COMPUTED_VALUE"""),"Kristhel Gabriela        Ayapán Balcárcel")</f>
        <v>Kristhel Gabriela        Ayapán Balcárcel</v>
      </c>
      <c r="BK20" s="90"/>
      <c r="BL20" s="36" t="str">
        <f>IFERROR(__xludf.DUMMYFUNCTION("""COMPUTED_VALUE"""),"Laora        Servant")</f>
        <v>Laora        Servant</v>
      </c>
      <c r="BM20" s="38"/>
      <c r="BN20" s="57"/>
      <c r="BO20" s="38" t="str">
        <f>IFERROR(__xludf.DUMMYFUNCTION("""COMPUTED_VALUE"""),"Hedda        Olson")</f>
        <v>Hedda        Olson</v>
      </c>
      <c r="BP20" s="39"/>
      <c r="BQ20" s="53"/>
      <c r="BR20" s="38" t="str">
        <f>IFERROR(__xludf.DUMMYFUNCTION("""COMPUTED_VALUE"""),"Hillary        Villena Quispe")</f>
        <v>Hillary        Villena Quispe</v>
      </c>
      <c r="BS20" s="38" t="str">
        <f>IFERROR(__xludf.DUMMYFUNCTION("""COMPUTED_VALUE"""),"Wenqing	LIANG")</f>
        <v>Wenqing	LIANG</v>
      </c>
    </row>
    <row r="21">
      <c r="A21" s="27">
        <f>IFERROR(__xludf.DUMMYFUNCTION("""COMPUTED_VALUE"""),14.0)</f>
        <v>14</v>
      </c>
      <c r="B21" s="91"/>
      <c r="C21" s="31" t="str">
        <f>IFERROR(__xludf.DUMMYFUNCTION("""COMPUTED_VALUE"""),"Aoife Jassami	Wade")</f>
        <v>Aoife Jassami	Wade</v>
      </c>
      <c r="D21" s="30"/>
      <c r="E21" s="30"/>
      <c r="F21" s="30"/>
      <c r="G21" s="31" t="str">
        <f>IFERROR(__xludf.DUMMYFUNCTION("""COMPUTED_VALUE"""),"Xiaoshi (Stone)        ZHAO")</f>
        <v>Xiaoshi (Stone)        ZHAO</v>
      </c>
      <c r="H21" s="30"/>
      <c r="I21" s="30"/>
      <c r="J21" s="30"/>
      <c r="K21" s="30"/>
      <c r="L21" s="35"/>
      <c r="M21" s="35"/>
      <c r="N21" s="35"/>
      <c r="O21" s="35"/>
      <c r="P21" s="35"/>
      <c r="Q21" s="35"/>
      <c r="R21" s="35"/>
      <c r="S21" s="34" t="str">
        <f>IFERROR(__xludf.DUMMYFUNCTION("""COMPUTED_VALUE"""),"Zoé Sara	Amat")</f>
        <v>Zoé Sara	Amat</v>
      </c>
      <c r="T21" s="35"/>
      <c r="U21" s="47"/>
      <c r="V21" s="47"/>
      <c r="W21" s="34" t="str">
        <f>IFERROR(__xludf.DUMMYFUNCTION("""COMPUTED_VALUE"""),"Ulrich	Mohrhdart Doger")</f>
        <v>Ulrich	Mohrhdart Doger</v>
      </c>
      <c r="X21" s="48"/>
      <c r="Y21" s="48"/>
      <c r="Z21" s="36" t="str">
        <f>IFERROR(__xludf.DUMMYFUNCTION("""COMPUTED_VALUE"""),"Tahmina	Tamim")</f>
        <v>Tahmina	Tamim</v>
      </c>
      <c r="AA21" s="48"/>
      <c r="AB21" s="36" t="str">
        <f>IFERROR(__xludf.DUMMYFUNCTION("""COMPUTED_VALUE"""),"Sofia	Tomasikova")</f>
        <v>Sofia	Tomasikova</v>
      </c>
      <c r="AC21" s="48"/>
      <c r="AD21" s="48"/>
      <c r="AE21" s="37" t="str">
        <f>IFERROR(__xludf.DUMMYFUNCTION("""COMPUTED_VALUE"""),"Zoé Sara	Amat")</f>
        <v>Zoé Sara	Amat</v>
      </c>
      <c r="AF21" s="48"/>
      <c r="AG21" s="39"/>
      <c r="AH21" s="38" t="str">
        <f>IFERROR(__xludf.DUMMYFUNCTION("""COMPUTED_VALUE"""),"Kristhel Gabriela	Ayapán Balcárcel")</f>
        <v>Kristhel Gabriela	Ayapán Balcárcel</v>
      </c>
      <c r="AI21" s="39"/>
      <c r="AJ21" s="38" t="str">
        <f>IFERROR(__xludf.DUMMYFUNCTION("""COMPUTED_VALUE"""),"Chinoyerem Miracle Onyegbula")</f>
        <v>Chinoyerem Miracle Onyegbula</v>
      </c>
      <c r="AK21" s="39"/>
      <c r="AL21" s="38" t="str">
        <f>IFERROR(__xludf.DUMMYFUNCTION("""COMPUTED_VALUE"""),"Yao Wei	Zheng He")</f>
        <v>Yao Wei	Zheng He</v>
      </c>
      <c r="AM21" s="39"/>
      <c r="AN21" s="39"/>
      <c r="AO21" s="39"/>
      <c r="AP21" s="39"/>
      <c r="AQ21" s="39"/>
      <c r="AR21" s="31" t="str">
        <f>IFERROR(__xludf.DUMMYFUNCTION("""COMPUTED_VALUE"""),"Tahmina        Tamim")</f>
        <v>Tahmina        Tamim</v>
      </c>
      <c r="AS21" s="30"/>
      <c r="AT21" s="30"/>
      <c r="AU21" s="31" t="str">
        <f>IFERROR(__xludf.DUMMYFUNCTION("""COMPUTED_VALUE"""),"Leo Mark        Gibson Davies")</f>
        <v>Leo Mark        Gibson Davies</v>
      </c>
      <c r="AV21" s="30"/>
      <c r="AW21" s="92" t="str">
        <f>IFERROR(__xludf.DUMMYFUNCTION("""COMPUTED_VALUE"""),"Ying Nam Aung")</f>
        <v>Ying Nam Aung</v>
      </c>
      <c r="AX21" s="34" t="str">
        <f>IFERROR(__xludf.DUMMYFUNCTION("""COMPUTED_VALUE"""),"Jafeth        Suarez Calderón")</f>
        <v>Jafeth        Suarez Calderón</v>
      </c>
      <c r="AY21" s="72"/>
      <c r="AZ21" s="35"/>
      <c r="BA21" s="35"/>
      <c r="BB21" s="35"/>
      <c r="BC21" s="35"/>
      <c r="BD21" s="35"/>
      <c r="BE21" s="34" t="str">
        <f>IFERROR(__xludf.DUMMYFUNCTION("""COMPUTED_VALUE"""),"Benicio        Brzozowski")</f>
        <v>Benicio        Brzozowski</v>
      </c>
      <c r="BF21" s="93"/>
      <c r="BG21" s="50"/>
      <c r="BH21" s="48"/>
      <c r="BI21" s="36" t="str">
        <f>IFERROR(__xludf.DUMMYFUNCTION("""COMPUTED_VALUE"""),"Xiaoshi (Stone)        ZHAO")</f>
        <v>Xiaoshi (Stone)        ZHAO</v>
      </c>
      <c r="BJ21" s="36" t="str">
        <f>IFERROR(__xludf.DUMMYFUNCTION("""COMPUTED_VALUE"""),"Emely Johanya        López Torres")</f>
        <v>Emely Johanya        López Torres</v>
      </c>
      <c r="BK21" s="82"/>
      <c r="BL21" s="36" t="str">
        <f>IFERROR(__xludf.DUMMYFUNCTION("""COMPUTED_VALUE"""),"Sophia        Gehann")</f>
        <v>Sophia        Gehann</v>
      </c>
      <c r="BM21" s="38"/>
      <c r="BN21" s="39"/>
      <c r="BO21" s="38" t="str">
        <f>IFERROR(__xludf.DUMMYFUNCTION("""COMPUTED_VALUE"""),"Tara        van Wijk")</f>
        <v>Tara        van Wijk</v>
      </c>
      <c r="BP21" s="39"/>
      <c r="BQ21" s="94"/>
      <c r="BR21" s="38" t="str">
        <f>IFERROR(__xludf.DUMMYFUNCTION("""COMPUTED_VALUE"""),"Gabriel        Blanco Herrera")</f>
        <v>Gabriel        Blanco Herrera</v>
      </c>
      <c r="BS21" s="38" t="str">
        <f>IFERROR(__xludf.DUMMYFUNCTION("""COMPUTED_VALUE"""),"Hsuan-Hao        Chang")</f>
        <v>Hsuan-Hao        Chang</v>
      </c>
    </row>
    <row r="22">
      <c r="A22" s="27">
        <f>IFERROR(__xludf.DUMMYFUNCTION("""COMPUTED_VALUE"""),15.0)</f>
        <v>15</v>
      </c>
      <c r="B22" s="95"/>
      <c r="C22" s="31" t="str">
        <f>IFERROR(__xludf.DUMMYFUNCTION("""COMPUTED_VALUE"""),"Klaudia	Wyrębkowska")</f>
        <v>Klaudia	Wyrębkowska</v>
      </c>
      <c r="D22" s="30"/>
      <c r="E22" s="30"/>
      <c r="F22" s="30"/>
      <c r="G22" s="31" t="str">
        <f>IFERROR(__xludf.DUMMYFUNCTION("""COMPUTED_VALUE"""),"Yannis Christian        Erni")</f>
        <v>Yannis Christian        Erni</v>
      </c>
      <c r="H22" s="30"/>
      <c r="I22" s="96"/>
      <c r="J22" s="30"/>
      <c r="K22" s="30"/>
      <c r="L22" s="35"/>
      <c r="M22" s="35"/>
      <c r="N22" s="35"/>
      <c r="O22" s="35"/>
      <c r="P22" s="35"/>
      <c r="Q22" s="35"/>
      <c r="R22" s="35"/>
      <c r="S22" s="34" t="str">
        <f>IFERROR(__xludf.DUMMYFUNCTION("""COMPUTED_VALUE"""),"Pamela	Solís Arias")</f>
        <v>Pamela	Solís Arias</v>
      </c>
      <c r="T22" s="35"/>
      <c r="U22" s="35"/>
      <c r="V22" s="35"/>
      <c r="W22" s="34" t="str">
        <f>IFERROR(__xludf.DUMMYFUNCTION("""COMPUTED_VALUE"""),"Ventsislav	Dinkov")</f>
        <v>Ventsislav	Dinkov</v>
      </c>
      <c r="X22" s="48"/>
      <c r="Y22" s="48"/>
      <c r="Z22" s="36" t="str">
        <f>IFERROR(__xludf.DUMMYFUNCTION("""COMPUTED_VALUE"""),"Tara	van Wijk")</f>
        <v>Tara	van Wijk</v>
      </c>
      <c r="AA22" s="48"/>
      <c r="AB22" s="37" t="str">
        <f>IFERROR(__xludf.DUMMYFUNCTION("""COMPUTED_VALUE"""),"Amelia Balwit")</f>
        <v>Amelia Balwit</v>
      </c>
      <c r="AC22" s="48"/>
      <c r="AD22" s="48"/>
      <c r="AE22" s="89"/>
      <c r="AF22" s="48"/>
      <c r="AG22" s="39"/>
      <c r="AH22" s="85" t="str">
        <f>IFERROR(__xludf.DUMMYFUNCTION("""COMPUTED_VALUE"""),"Aunati Kumar")</f>
        <v>Aunati Kumar</v>
      </c>
      <c r="AI22" s="39"/>
      <c r="AJ22" s="39"/>
      <c r="AK22" s="39"/>
      <c r="AL22" s="38" t="str">
        <f>IFERROR(__xludf.DUMMYFUNCTION("""COMPUTED_VALUE"""),"Nguyen (Vivienne) Thao Phuong")</f>
        <v>Nguyen (Vivienne) Thao Phuong</v>
      </c>
      <c r="AM22" s="39"/>
      <c r="AN22" s="39"/>
      <c r="AO22" s="39"/>
      <c r="AP22" s="39"/>
      <c r="AQ22" s="39"/>
      <c r="AR22" s="31"/>
      <c r="AS22" s="30"/>
      <c r="AT22" s="30"/>
      <c r="AU22" s="31" t="str">
        <f>IFERROR(__xludf.DUMMYFUNCTION("""COMPUTED_VALUE"""),"Mung Hkawng        Ja Ngai")</f>
        <v>Mung Hkawng        Ja Ngai</v>
      </c>
      <c r="AV22" s="30"/>
      <c r="AW22" s="31" t="str">
        <f>IFERROR(__xludf.DUMMYFUNCTION("""COMPUTED_VALUE"""),"Edith	Bulat Jövinger")</f>
        <v>Edith	Bulat Jövinger</v>
      </c>
      <c r="AX22" s="64" t="str">
        <f>IFERROR(__xludf.DUMMYFUNCTION("""COMPUTED_VALUE"""),"Imran Tahiri")</f>
        <v>Imran Tahiri</v>
      </c>
      <c r="AY22" s="35"/>
      <c r="AZ22" s="35"/>
      <c r="BA22" s="35"/>
      <c r="BB22" s="35"/>
      <c r="BC22" s="35"/>
      <c r="BD22" s="35"/>
      <c r="BE22" s="34" t="str">
        <f>IFERROR(__xludf.DUMMYFUNCTION("""COMPUTED_VALUE"""),"Isabel	Canas-Ferreira Daltrop")</f>
        <v>Isabel	Canas-Ferreira Daltrop</v>
      </c>
      <c r="BF22" s="48"/>
      <c r="BG22" s="48"/>
      <c r="BH22" s="48"/>
      <c r="BI22" s="36" t="str">
        <f>IFERROR(__xludf.DUMMYFUNCTION("""COMPUTED_VALUE"""),"Yao Wei        Zheng He")</f>
        <v>Yao Wei        Zheng He</v>
      </c>
      <c r="BJ22" s="36" t="str">
        <f>IFERROR(__xludf.DUMMYFUNCTION("""COMPUTED_VALUE"""),"Ulrich        Mohrhdart Doger")</f>
        <v>Ulrich        Mohrhdart Doger</v>
      </c>
      <c r="BK22" s="50"/>
      <c r="BL22" s="36" t="str">
        <f>IFERROR(__xludf.DUMMYFUNCTION("""COMPUTED_VALUE"""),"Isabela        Aurélio de Vargas")</f>
        <v>Isabela        Aurélio de Vargas</v>
      </c>
      <c r="BM22" s="38"/>
      <c r="BN22" s="39"/>
      <c r="BO22" s="61" t="str">
        <f>IFERROR(__xludf.DUMMYFUNCTION("""COMPUTED_VALUE"""),"Zoé Sara	Amat")</f>
        <v>Zoé Sara	Amat</v>
      </c>
      <c r="BP22" s="39"/>
      <c r="BQ22" s="97"/>
      <c r="BR22" s="53"/>
      <c r="BS22" s="38" t="str">
        <f>IFERROR(__xludf.DUMMYFUNCTION("""COMPUTED_VALUE"""),"Grete Mika        Gollenbeck")</f>
        <v>Grete Mika        Gollenbeck</v>
      </c>
    </row>
    <row r="23">
      <c r="A23" s="27">
        <f>IFERROR(__xludf.DUMMYFUNCTION("""COMPUTED_VALUE"""),16.0)</f>
        <v>16</v>
      </c>
      <c r="B23" s="95"/>
      <c r="C23" s="31" t="str">
        <f>IFERROR(__xludf.DUMMYFUNCTION("""COMPUTED_VALUE"""),"Grete Mika Gollenbeck")</f>
        <v>Grete Mika Gollenbeck</v>
      </c>
      <c r="D23" s="30"/>
      <c r="E23" s="30"/>
      <c r="F23" s="30"/>
      <c r="G23" s="31" t="str">
        <f>IFERROR(__xludf.DUMMYFUNCTION("""COMPUTED_VALUE"""),"Ignacio Oreamuno Alpizar")</f>
        <v>Ignacio Oreamuno Alpizar</v>
      </c>
      <c r="H23" s="30"/>
      <c r="I23" s="91"/>
      <c r="J23" s="30"/>
      <c r="K23" s="30"/>
      <c r="L23" s="35"/>
      <c r="M23" s="35"/>
      <c r="N23" s="35"/>
      <c r="O23" s="35"/>
      <c r="P23" s="35"/>
      <c r="Q23" s="72"/>
      <c r="R23" s="35"/>
      <c r="S23" s="70"/>
      <c r="T23" s="35"/>
      <c r="U23" s="35"/>
      <c r="V23" s="72"/>
      <c r="W23" s="73" t="str">
        <f>IFERROR(__xludf.DUMMYFUNCTION("""COMPUTED_VALUE"""),"Imran Tahiri")</f>
        <v>Imran Tahiri</v>
      </c>
      <c r="X23" s="48"/>
      <c r="Y23" s="48"/>
      <c r="Z23" s="52" t="str">
        <f>IFERROR(__xludf.DUMMYFUNCTION("""COMPUTED_VALUE"""),"Olivia        Moe-Jordan")</f>
        <v>Olivia        Moe-Jordan</v>
      </c>
      <c r="AA23" s="48"/>
      <c r="AB23" s="36" t="str">
        <f>IFERROR(__xludf.DUMMYFUNCTION("""COMPUTED_VALUE"""),"Isabel	Canas-Ferreira Daltrop")</f>
        <v>Isabel	Canas-Ferreira Daltrop</v>
      </c>
      <c r="AC23" s="48"/>
      <c r="AD23" s="48"/>
      <c r="AE23" s="89"/>
      <c r="AF23" s="48"/>
      <c r="AG23" s="55"/>
      <c r="AH23" s="39"/>
      <c r="AI23" s="39"/>
      <c r="AJ23" s="39"/>
      <c r="AK23" s="39"/>
      <c r="AL23" s="38" t="str">
        <f>IFERROR(__xludf.DUMMYFUNCTION("""COMPUTED_VALUE"""),"Filip	Suchanski")</f>
        <v>Filip	Suchanski</v>
      </c>
      <c r="AM23" s="39"/>
      <c r="AN23" s="39"/>
      <c r="AO23" s="55"/>
      <c r="AP23" s="39"/>
      <c r="AQ23" s="39"/>
      <c r="AR23" s="30" t="str">
        <f>IFERROR(__xludf.DUMMYFUNCTION("""COMPUTED_VALUE"""),"Zoé Sara        Amat")</f>
        <v>Zoé Sara        Amat</v>
      </c>
      <c r="AS23" s="30"/>
      <c r="AT23" s="30"/>
      <c r="AU23" s="31" t="str">
        <f>IFERROR(__xludf.DUMMYFUNCTION("""COMPUTED_VALUE"""),"Tenzin        Jigme")</f>
        <v>Tenzin        Jigme</v>
      </c>
      <c r="AV23" s="30"/>
      <c r="AW23" s="31" t="str">
        <f>IFERROR(__xludf.DUMMYFUNCTION("""COMPUTED_VALUE"""),"Kelzang	Tobgyel")</f>
        <v>Kelzang	Tobgyel</v>
      </c>
      <c r="AX23" s="40" t="str">
        <f>IFERROR(__xludf.DUMMYFUNCTION("""COMPUTED_VALUE"""),"Lucrezia Blanca        Morra")</f>
        <v>Lucrezia Blanca        Morra</v>
      </c>
      <c r="AY23" s="35"/>
      <c r="AZ23" s="35"/>
      <c r="BA23" s="35"/>
      <c r="BB23" s="35"/>
      <c r="BC23" s="35"/>
      <c r="BD23" s="35"/>
      <c r="BE23" s="34" t="str">
        <f>IFERROR(__xludf.DUMMYFUNCTION("""COMPUTED_VALUE"""),"Azure	Adams")</f>
        <v>Azure	Adams</v>
      </c>
      <c r="BF23" s="48"/>
      <c r="BG23" s="48"/>
      <c r="BH23" s="48"/>
      <c r="BI23" s="36" t="str">
        <f>IFERROR(__xludf.DUMMYFUNCTION("""COMPUTED_VALUE"""),"Alejandro Daniel Portillo Cabral")</f>
        <v>Alejandro Daniel Portillo Cabral</v>
      </c>
      <c r="BJ23" s="36" t="str">
        <f>IFERROR(__xludf.DUMMYFUNCTION("""COMPUTED_VALUE"""),"Jorge Alexander        Rivero Añez")</f>
        <v>Jorge Alexander        Rivero Añez</v>
      </c>
      <c r="BK23" s="48"/>
      <c r="BL23" s="36" t="str">
        <f>IFERROR(__xludf.DUMMYFUNCTION("""COMPUTED_VALUE"""),"Tahmina        Tamim")</f>
        <v>Tahmina        Tamim</v>
      </c>
      <c r="BM23" s="57"/>
      <c r="BN23" s="39"/>
      <c r="BO23" s="38" t="str">
        <f>IFERROR(__xludf.DUMMYFUNCTION("""COMPUTED_VALUE"""),"Kiran	Wilcke")</f>
        <v>Kiran	Wilcke</v>
      </c>
      <c r="BP23" s="39"/>
      <c r="BQ23" s="39"/>
      <c r="BR23" s="57"/>
      <c r="BS23" s="38" t="str">
        <f>IFERROR(__xludf.DUMMYFUNCTION("""COMPUTED_VALUE"""),"Florenz Levian        Krauß")</f>
        <v>Florenz Levian        Krauß</v>
      </c>
    </row>
    <row r="24">
      <c r="A24" s="27">
        <f>IFERROR(__xludf.DUMMYFUNCTION("""COMPUTED_VALUE"""),17.0)</f>
        <v>17</v>
      </c>
      <c r="B24" s="95"/>
      <c r="C24" s="31" t="str">
        <f>IFERROR(__xludf.DUMMYFUNCTION("""COMPUTED_VALUE"""),"Josie May Thomas")</f>
        <v>Josie May Thomas</v>
      </c>
      <c r="D24" s="30"/>
      <c r="E24" s="30"/>
      <c r="F24" s="30"/>
      <c r="G24" s="56" t="str">
        <f>IFERROR(__xludf.DUMMYFUNCTION("""COMPUTED_VALUE"""),"Isabela Aurélio de Vargas")</f>
        <v>Isabela Aurélio de Vargas</v>
      </c>
      <c r="H24" s="30"/>
      <c r="I24" s="30"/>
      <c r="J24" s="30"/>
      <c r="K24" s="30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4" t="str">
        <f>IFERROR(__xludf.DUMMYFUNCTION("""COMPUTED_VALUE"""),"Wenqing        LIANG")</f>
        <v>Wenqing        LIANG</v>
      </c>
      <c r="X24" s="48"/>
      <c r="Y24" s="48"/>
      <c r="Z24" s="49"/>
      <c r="AA24" s="48"/>
      <c r="AB24" s="89"/>
      <c r="AC24" s="48"/>
      <c r="AD24" s="48"/>
      <c r="AE24" s="89"/>
      <c r="AF24" s="48"/>
      <c r="AG24" s="39"/>
      <c r="AH24" s="39"/>
      <c r="AI24" s="39"/>
      <c r="AJ24" s="55"/>
      <c r="AK24" s="39"/>
      <c r="AL24" s="38" t="str">
        <f>IFERROR(__xludf.DUMMYFUNCTION("""COMPUTED_VALUE"""),"Zoé Sara        Amat")</f>
        <v>Zoé Sara        Amat</v>
      </c>
      <c r="AM24" s="39"/>
      <c r="AN24" s="39"/>
      <c r="AO24" s="39"/>
      <c r="AP24" s="39"/>
      <c r="AQ24" s="39"/>
      <c r="AR24" s="31" t="str">
        <f>IFERROR(__xludf.DUMMYFUNCTION("""COMPUTED_VALUE"""),"Alina Araya Hernández")</f>
        <v>Alina Araya Hernández</v>
      </c>
      <c r="AS24" s="30"/>
      <c r="AT24" s="30"/>
      <c r="AU24" s="31" t="str">
        <f>IFERROR(__xludf.DUMMYFUNCTION("""COMPUTED_VALUE"""),"Isabel        Canas-Ferreira Daltrop")</f>
        <v>Isabel        Canas-Ferreira Daltrop</v>
      </c>
      <c r="AV24" s="30"/>
      <c r="AW24" s="31" t="str">
        <f>IFERROR(__xludf.DUMMYFUNCTION("""COMPUTED_VALUE"""),"Lydia Elizabeth Gathoni Cummins-Mburu")</f>
        <v>Lydia Elizabeth Gathoni Cummins-Mburu</v>
      </c>
      <c r="AX24" s="98"/>
      <c r="AY24" s="35"/>
      <c r="AZ24" s="72"/>
      <c r="BA24" s="35"/>
      <c r="BB24" s="35"/>
      <c r="BC24" s="35"/>
      <c r="BD24" s="35"/>
      <c r="BE24" s="34" t="str">
        <f>IFERROR(__xludf.DUMMYFUNCTION("""COMPUTED_VALUE"""),"Eaint Htar Wazin	Aung")</f>
        <v>Eaint Htar Wazin	Aung</v>
      </c>
      <c r="BF24" s="48"/>
      <c r="BG24" s="48"/>
      <c r="BH24" s="48"/>
      <c r="BI24" s="36"/>
      <c r="BJ24" s="36"/>
      <c r="BK24" s="48"/>
      <c r="BL24" s="36" t="str">
        <f>IFERROR(__xludf.DUMMYFUNCTION("""COMPUTED_VALUE"""),"Elba        de la Oliva")</f>
        <v>Elba        de la Oliva</v>
      </c>
      <c r="BM24" s="39"/>
      <c r="BN24" s="39"/>
      <c r="BO24" s="39"/>
      <c r="BP24" s="39"/>
      <c r="BQ24" s="39"/>
      <c r="BR24" s="39"/>
      <c r="BS24" s="38" t="str">
        <f>IFERROR(__xludf.DUMMYFUNCTION("""COMPUTED_VALUE"""),"Benicio	Brzozowski")</f>
        <v>Benicio	Brzozowski</v>
      </c>
    </row>
    <row r="25">
      <c r="A25" s="27">
        <f>IFERROR(__xludf.DUMMYFUNCTION("""COMPUTED_VALUE"""),18.0)</f>
        <v>18</v>
      </c>
      <c r="B25" s="91"/>
      <c r="C25" s="99"/>
      <c r="D25" s="30"/>
      <c r="E25" s="30"/>
      <c r="F25" s="30"/>
      <c r="G25" s="30"/>
      <c r="H25" s="30"/>
      <c r="I25" s="30"/>
      <c r="J25" s="30"/>
      <c r="K25" s="30"/>
      <c r="L25" s="35"/>
      <c r="M25" s="35"/>
      <c r="N25" s="35"/>
      <c r="O25" s="35"/>
      <c r="P25" s="35"/>
      <c r="Q25" s="35"/>
      <c r="R25" s="35"/>
      <c r="S25" s="76"/>
      <c r="T25" s="35"/>
      <c r="U25" s="35"/>
      <c r="V25" s="35"/>
      <c r="W25" s="34" t="str">
        <f>IFERROR(__xludf.DUMMYFUNCTION("""COMPUTED_VALUE"""),"Grete Mika Gollenbeck")</f>
        <v>Grete Mika Gollenbeck</v>
      </c>
      <c r="X25" s="48"/>
      <c r="Y25" s="48"/>
      <c r="Z25" s="50"/>
      <c r="AA25" s="48"/>
      <c r="AB25" s="50"/>
      <c r="AC25" s="48"/>
      <c r="AD25" s="48"/>
      <c r="AE25" s="89"/>
      <c r="AF25" s="48"/>
      <c r="AG25" s="55"/>
      <c r="AH25" s="39"/>
      <c r="AI25" s="39"/>
      <c r="AJ25" s="39"/>
      <c r="AK25" s="39"/>
      <c r="AL25" s="53"/>
      <c r="AM25" s="39"/>
      <c r="AN25" s="39"/>
      <c r="AO25" s="39"/>
      <c r="AP25" s="39"/>
      <c r="AQ25" s="39"/>
      <c r="AR25" s="31" t="str">
        <f>IFERROR(__xludf.DUMMYFUNCTION("""COMPUTED_VALUE"""),"Eddie Xi")</f>
        <v>Eddie Xi</v>
      </c>
      <c r="AS25" s="30"/>
      <c r="AT25" s="30"/>
      <c r="AU25" s="41" t="str">
        <f>IFERROR(__xludf.DUMMYFUNCTION("""COMPUTED_VALUE"""),"Jules        Melgaard")</f>
        <v>Jules        Melgaard</v>
      </c>
      <c r="AV25" s="30"/>
      <c r="AW25" s="100" t="str">
        <f>IFERROR(__xludf.DUMMYFUNCTION("""COMPUTED_VALUE"""),"Lucrezia Blanca        Morra")</f>
        <v>Lucrezia Blanca        Morra</v>
      </c>
      <c r="AX25" s="62"/>
      <c r="AY25" s="35"/>
      <c r="AZ25" s="35"/>
      <c r="BA25" s="35"/>
      <c r="BB25" s="35"/>
      <c r="BC25" s="35"/>
      <c r="BD25" s="35"/>
      <c r="BE25" s="35"/>
      <c r="BF25" s="48"/>
      <c r="BG25" s="48"/>
      <c r="BH25" s="48"/>
      <c r="BI25" s="48"/>
      <c r="BJ25" s="48"/>
      <c r="BK25" s="50"/>
      <c r="BL25" s="36" t="str">
        <f>IFERROR(__xludf.DUMMYFUNCTION("""COMPUTED_VALUE"""),"Hsuan-Hao	Chang")</f>
        <v>Hsuan-Hao	Chang</v>
      </c>
      <c r="BM25" s="39"/>
      <c r="BN25" s="39"/>
      <c r="BO25" s="39"/>
      <c r="BP25" s="39"/>
      <c r="BQ25" s="39"/>
      <c r="BR25" s="39"/>
      <c r="BS25" s="38" t="str">
        <f>IFERROR(__xludf.DUMMYFUNCTION("""COMPUTED_VALUE"""),"Federico        Corda")</f>
        <v>Federico        Corda</v>
      </c>
    </row>
    <row r="26">
      <c r="A26" s="27">
        <f>IFERROR(__xludf.DUMMYFUNCTION("""COMPUTED_VALUE"""),19.0)</f>
        <v>19</v>
      </c>
      <c r="B26" s="91"/>
      <c r="C26" s="33"/>
      <c r="D26" s="30"/>
      <c r="E26" s="30"/>
      <c r="F26" s="30"/>
      <c r="G26" s="101" t="str">
        <f>IFERROR(__xludf.DUMMYFUNCTION("""COMPUTED_VALUE"""),"Imran Tahiri")</f>
        <v>Imran Tahiri</v>
      </c>
      <c r="H26" s="30"/>
      <c r="I26" s="30"/>
      <c r="J26" s="30"/>
      <c r="K26" s="30"/>
      <c r="L26" s="35"/>
      <c r="M26" s="35"/>
      <c r="N26" s="35"/>
      <c r="O26" s="35"/>
      <c r="P26" s="35"/>
      <c r="Q26" s="35"/>
      <c r="R26" s="35"/>
      <c r="S26" s="76"/>
      <c r="T26" s="35"/>
      <c r="U26" s="35"/>
      <c r="V26" s="35"/>
      <c r="W26" s="34" t="str">
        <f>IFERROR(__xludf.DUMMYFUNCTION("""COMPUTED_VALUE"""),"Filip        Suchanski")</f>
        <v>Filip        Suchanski</v>
      </c>
      <c r="X26" s="48"/>
      <c r="Y26" s="48"/>
      <c r="Z26" s="48"/>
      <c r="AA26" s="48"/>
      <c r="AB26" s="48"/>
      <c r="AC26" s="48"/>
      <c r="AD26" s="48"/>
      <c r="AE26" s="50"/>
      <c r="AF26" s="48"/>
      <c r="AG26" s="39"/>
      <c r="AH26" s="39"/>
      <c r="AI26" s="39"/>
      <c r="AJ26" s="39"/>
      <c r="AK26" s="39"/>
      <c r="AL26" s="57"/>
      <c r="AM26" s="39"/>
      <c r="AN26" s="39"/>
      <c r="AO26" s="39"/>
      <c r="AP26" s="39"/>
      <c r="AQ26" s="39"/>
      <c r="AR26" s="51"/>
      <c r="AS26" s="30"/>
      <c r="AT26" s="30"/>
      <c r="AU26" s="38" t="str">
        <f>IFERROR(__xludf.DUMMYFUNCTION("""COMPUTED_VALUE"""),"Chinoyerem Miracle Onyegbula")</f>
        <v>Chinoyerem Miracle Onyegbula</v>
      </c>
      <c r="AV26" s="45"/>
      <c r="AW26" s="31" t="str">
        <f>IFERROR(__xludf.DUMMYFUNCTION("""COMPUTED_VALUE"""),"Sofia        Tomasikova")</f>
        <v>Sofia        Tomasikova</v>
      </c>
      <c r="AX26" s="70"/>
      <c r="AY26" s="35"/>
      <c r="AZ26" s="35"/>
      <c r="BA26" s="35"/>
      <c r="BB26" s="35"/>
      <c r="BC26" s="35"/>
      <c r="BD26" s="35"/>
      <c r="BE26" s="35"/>
      <c r="BF26" s="48"/>
      <c r="BG26" s="48"/>
      <c r="BH26" s="48"/>
      <c r="BI26" s="49"/>
      <c r="BJ26" s="48"/>
      <c r="BK26" s="48"/>
      <c r="BL26" s="48" t="str">
        <f>IFERROR(__xludf.DUMMYFUNCTION("""COMPUTED_VALUE"""),"Arianna        Candeloro")</f>
        <v>Arianna        Candeloro</v>
      </c>
      <c r="BM26" s="39"/>
      <c r="BN26" s="39"/>
      <c r="BO26" s="39"/>
      <c r="BP26" s="39"/>
      <c r="BQ26" s="39"/>
      <c r="BR26" s="39"/>
      <c r="BS26" s="38" t="str">
        <f>IFERROR(__xludf.DUMMYFUNCTION("""COMPUTED_VALUE"""),"Lucrezia Blanca        Morra")</f>
        <v>Lucrezia Blanca        Morra</v>
      </c>
    </row>
    <row r="27">
      <c r="A27" s="27">
        <f>IFERROR(__xludf.DUMMYFUNCTION("""COMPUTED_VALUE"""),20.0)</f>
        <v>20</v>
      </c>
      <c r="B27" s="45"/>
      <c r="C27" s="102"/>
      <c r="D27" s="30"/>
      <c r="E27" s="30"/>
      <c r="F27" s="30"/>
      <c r="G27" s="31" t="str">
        <f>IFERROR(__xludf.DUMMYFUNCTION("""COMPUTED_VALUE"""),"Nguyen (Vivienne) Thao Phuong")</f>
        <v>Nguyen (Vivienne) Thao Phuong</v>
      </c>
      <c r="H27" s="30"/>
      <c r="I27" s="30"/>
      <c r="J27" s="30"/>
      <c r="K27" s="30"/>
      <c r="L27" s="35"/>
      <c r="M27" s="35"/>
      <c r="N27" s="35"/>
      <c r="O27" s="35"/>
      <c r="P27" s="35"/>
      <c r="Q27" s="76"/>
      <c r="R27" s="35"/>
      <c r="S27" s="76"/>
      <c r="T27" s="35"/>
      <c r="U27" s="35"/>
      <c r="V27" s="35"/>
      <c r="W27" s="34" t="str">
        <f>IFERROR(__xludf.DUMMYFUNCTION("""COMPUTED_VALUE"""),"Benicio	Brzozowski")</f>
        <v>Benicio	Brzozowski</v>
      </c>
      <c r="X27" s="48"/>
      <c r="Y27" s="48"/>
      <c r="Z27" s="48"/>
      <c r="AA27" s="48"/>
      <c r="AB27" s="48"/>
      <c r="AC27" s="48"/>
      <c r="AD27" s="48"/>
      <c r="AE27" s="48"/>
      <c r="AF27" s="48"/>
      <c r="AG27" s="39"/>
      <c r="AH27" s="39"/>
      <c r="AI27" s="39"/>
      <c r="AJ27" s="39"/>
      <c r="AK27" s="39"/>
      <c r="AL27" s="57"/>
      <c r="AM27" s="39"/>
      <c r="AN27" s="39"/>
      <c r="AO27" s="39"/>
      <c r="AP27" s="39"/>
      <c r="AQ27" s="39"/>
      <c r="AR27" s="33"/>
      <c r="AS27" s="30"/>
      <c r="AT27" s="30"/>
      <c r="AU27" s="96"/>
      <c r="AV27" s="30"/>
      <c r="AW27" s="31" t="str">
        <f>IFERROR(__xludf.DUMMYFUNCTION("""COMPUTED_VALUE"""),"Olivia        Moe-Jordan")</f>
        <v>Olivia        Moe-Jordan</v>
      </c>
      <c r="AX27" s="35"/>
      <c r="AY27" s="35"/>
      <c r="AZ27" s="35"/>
      <c r="BA27" s="35"/>
      <c r="BB27" s="35"/>
      <c r="BC27" s="35"/>
      <c r="BD27" s="35"/>
      <c r="BE27" s="35"/>
      <c r="BF27" s="48"/>
      <c r="BG27" s="48"/>
      <c r="BH27" s="48"/>
      <c r="BI27" s="48"/>
      <c r="BJ27" s="48"/>
      <c r="BK27" s="48"/>
      <c r="BL27" s="36" t="str">
        <f>IFERROR(__xludf.DUMMYFUNCTION("""COMPUTED_VALUE"""),"Maxime        De Corioli")</f>
        <v>Maxime        De Corioli</v>
      </c>
      <c r="BM27" s="39"/>
      <c r="BN27" s="39"/>
      <c r="BO27" s="39"/>
      <c r="BP27" s="39"/>
      <c r="BQ27" s="39"/>
      <c r="BR27" s="39"/>
      <c r="BS27" s="38" t="str">
        <f>IFERROR(__xludf.DUMMYFUNCTION("""COMPUTED_VALUE"""),"Tahmina        Tamim")</f>
        <v>Tahmina        Tamim</v>
      </c>
    </row>
    <row r="28">
      <c r="A28" s="27">
        <f>IFERROR(__xludf.DUMMYFUNCTION("""COMPUTED_VALUE"""),21.0)</f>
        <v>21</v>
      </c>
      <c r="B28" s="30"/>
      <c r="C28" s="30"/>
      <c r="D28" s="30"/>
      <c r="E28" s="30"/>
      <c r="F28" s="30"/>
      <c r="G28" s="31" t="str">
        <f>IFERROR(__xludf.DUMMYFUNCTION("""COMPUTED_VALUE"""),"Oluwajomiloju Jedidah Thorpe")</f>
        <v>Oluwajomiloju Jedidah Thorpe</v>
      </c>
      <c r="H28" s="30"/>
      <c r="I28" s="30"/>
      <c r="J28" s="30"/>
      <c r="K28" s="30"/>
      <c r="L28" s="35"/>
      <c r="M28" s="35"/>
      <c r="N28" s="35"/>
      <c r="O28" s="35"/>
      <c r="P28" s="35"/>
      <c r="Q28" s="72"/>
      <c r="R28" s="35"/>
      <c r="S28" s="76"/>
      <c r="T28" s="35"/>
      <c r="U28" s="35"/>
      <c r="V28" s="72"/>
      <c r="W28" s="70"/>
      <c r="X28" s="48"/>
      <c r="Y28" s="48"/>
      <c r="Z28" s="48"/>
      <c r="AA28" s="48"/>
      <c r="AB28" s="48"/>
      <c r="AC28" s="48"/>
      <c r="AD28" s="48"/>
      <c r="AE28" s="48"/>
      <c r="AF28" s="48"/>
      <c r="AG28" s="39"/>
      <c r="AH28" s="39"/>
      <c r="AI28" s="39"/>
      <c r="AJ28" s="39"/>
      <c r="AK28" s="39"/>
      <c r="AL28" s="57"/>
      <c r="AM28" s="39"/>
      <c r="AN28" s="39"/>
      <c r="AO28" s="39"/>
      <c r="AP28" s="39"/>
      <c r="AQ28" s="39"/>
      <c r="AR28" s="30"/>
      <c r="AS28" s="30"/>
      <c r="AT28" s="30"/>
      <c r="AU28" s="96"/>
      <c r="AV28" s="30"/>
      <c r="AW28" s="30"/>
      <c r="AX28" s="35"/>
      <c r="AY28" s="35"/>
      <c r="AZ28" s="35"/>
      <c r="BA28" s="35"/>
      <c r="BB28" s="35"/>
      <c r="BC28" s="35"/>
      <c r="BD28" s="35"/>
      <c r="BE28" s="35"/>
      <c r="BF28" s="48"/>
      <c r="BG28" s="48"/>
      <c r="BH28" s="48"/>
      <c r="BI28" s="48"/>
      <c r="BJ28" s="48"/>
      <c r="BK28" s="48"/>
      <c r="BL28" s="36"/>
      <c r="BM28" s="39"/>
      <c r="BN28" s="39"/>
      <c r="BO28" s="39"/>
      <c r="BP28" s="39"/>
      <c r="BQ28" s="39"/>
      <c r="BR28" s="39"/>
      <c r="BS28" s="58" t="str">
        <f>IFERROR(__xludf.DUMMYFUNCTION("""COMPUTED_VALUE"""),"Ying Nam Aung")</f>
        <v>Ying Nam Aung</v>
      </c>
    </row>
    <row r="29">
      <c r="A29" s="27">
        <f>IFERROR(__xludf.DUMMYFUNCTION("""COMPUTED_VALUE"""),22.0)</f>
        <v>22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5"/>
      <c r="M29" s="35"/>
      <c r="N29" s="35"/>
      <c r="O29" s="35"/>
      <c r="P29" s="35"/>
      <c r="Q29" s="35"/>
      <c r="R29" s="35"/>
      <c r="S29" s="72"/>
      <c r="T29" s="35"/>
      <c r="U29" s="35"/>
      <c r="V29" s="35"/>
      <c r="W29" s="35"/>
      <c r="X29" s="48"/>
      <c r="Y29" s="48"/>
      <c r="Z29" s="48"/>
      <c r="AA29" s="48"/>
      <c r="AB29" s="48"/>
      <c r="AC29" s="48"/>
      <c r="AD29" s="48"/>
      <c r="AE29" s="48"/>
      <c r="AF29" s="48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0"/>
      <c r="AS29" s="30"/>
      <c r="AT29" s="30"/>
      <c r="AU29" s="96"/>
      <c r="AV29" s="30"/>
      <c r="AW29" s="30"/>
      <c r="AX29" s="35"/>
      <c r="AY29" s="35"/>
      <c r="AZ29" s="35"/>
      <c r="BA29" s="35"/>
      <c r="BB29" s="35"/>
      <c r="BC29" s="35"/>
      <c r="BD29" s="35"/>
      <c r="BE29" s="35"/>
      <c r="BF29" s="48"/>
      <c r="BG29" s="48"/>
      <c r="BH29" s="48"/>
      <c r="BI29" s="48"/>
      <c r="BJ29" s="48"/>
      <c r="BK29" s="48"/>
      <c r="BL29" s="36"/>
      <c r="BM29" s="39"/>
      <c r="BN29" s="39"/>
      <c r="BO29" s="39"/>
      <c r="BP29" s="39"/>
      <c r="BQ29" s="39"/>
      <c r="BR29" s="39"/>
      <c r="BS29" s="63" t="str">
        <f>IFERROR(__xludf.DUMMYFUNCTION("""COMPUTED_VALUE"""),"Eddie Xi")</f>
        <v>Eddie Xi</v>
      </c>
    </row>
    <row r="30">
      <c r="A30" s="27">
        <f>IFERROR(__xludf.DUMMYFUNCTION("""COMPUTED_VALUE"""),23.0)</f>
        <v>23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48"/>
      <c r="Y30" s="48"/>
      <c r="Z30" s="48"/>
      <c r="AA30" s="48"/>
      <c r="AB30" s="48"/>
      <c r="AC30" s="48"/>
      <c r="AD30" s="48"/>
      <c r="AE30" s="48"/>
      <c r="AF30" s="48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0"/>
      <c r="AS30" s="30"/>
      <c r="AT30" s="30"/>
      <c r="AU30" s="96"/>
      <c r="AV30" s="30"/>
      <c r="AW30" s="30"/>
      <c r="AX30" s="35"/>
      <c r="AY30" s="35"/>
      <c r="AZ30" s="35"/>
      <c r="BA30" s="35"/>
      <c r="BB30" s="35"/>
      <c r="BC30" s="35"/>
      <c r="BD30" s="35"/>
      <c r="BE30" s="35"/>
      <c r="BF30" s="48"/>
      <c r="BG30" s="48"/>
      <c r="BH30" s="48"/>
      <c r="BI30" s="48"/>
      <c r="BJ30" s="48"/>
      <c r="BK30" s="48"/>
      <c r="BL30" s="89"/>
      <c r="BM30" s="39"/>
      <c r="BN30" s="39"/>
      <c r="BO30" s="39"/>
      <c r="BP30" s="39"/>
      <c r="BQ30" s="39"/>
      <c r="BR30" s="39"/>
      <c r="BS30" s="39"/>
    </row>
    <row r="31">
      <c r="A31" s="27">
        <f>IFERROR(__xludf.DUMMYFUNCTION("""COMPUTED_VALUE"""),24.0)</f>
        <v>24</v>
      </c>
      <c r="B31" s="30"/>
      <c r="C31" s="91"/>
      <c r="D31" s="91"/>
      <c r="E31" s="91"/>
      <c r="F31" s="91"/>
      <c r="G31" s="91"/>
      <c r="H31" s="91"/>
      <c r="I31" s="30"/>
      <c r="J31" s="91"/>
      <c r="K31" s="91"/>
      <c r="L31" s="103"/>
      <c r="M31" s="103"/>
      <c r="N31" s="103"/>
      <c r="O31" s="103"/>
      <c r="P31" s="35"/>
      <c r="Q31" s="103"/>
      <c r="R31" s="103"/>
      <c r="S31" s="103"/>
      <c r="T31" s="103"/>
      <c r="U31" s="35"/>
      <c r="V31" s="35"/>
      <c r="W31" s="35"/>
      <c r="X31" s="48"/>
      <c r="Y31" s="48"/>
      <c r="Z31" s="48"/>
      <c r="AA31" s="104"/>
      <c r="AB31" s="48"/>
      <c r="AC31" s="104"/>
      <c r="AD31" s="48"/>
      <c r="AE31" s="48"/>
      <c r="AF31" s="48"/>
      <c r="AG31" s="39"/>
      <c r="AH31" s="105"/>
      <c r="AI31" s="86"/>
      <c r="AJ31" s="39"/>
      <c r="AK31" s="86"/>
      <c r="AL31" s="39"/>
      <c r="AM31" s="39"/>
      <c r="AN31" s="86"/>
      <c r="AO31" s="86"/>
      <c r="AP31" s="39"/>
      <c r="AQ31" s="39"/>
      <c r="AR31" s="30"/>
      <c r="AS31" s="30"/>
      <c r="AT31" s="30"/>
      <c r="AU31" s="96"/>
      <c r="AV31" s="30"/>
      <c r="AW31" s="30"/>
      <c r="AX31" s="35"/>
      <c r="AY31" s="35"/>
      <c r="AZ31" s="35"/>
      <c r="BA31" s="35"/>
      <c r="BB31" s="35"/>
      <c r="BC31" s="35"/>
      <c r="BD31" s="35"/>
      <c r="BE31" s="35"/>
      <c r="BF31" s="48"/>
      <c r="BG31" s="48"/>
      <c r="BH31" s="48"/>
      <c r="BI31" s="48"/>
      <c r="BJ31" s="48"/>
      <c r="BK31" s="48"/>
      <c r="BL31" s="50"/>
      <c r="BM31" s="39"/>
      <c r="BN31" s="39"/>
      <c r="BO31" s="39"/>
      <c r="BP31" s="39"/>
      <c r="BQ31" s="39"/>
      <c r="BR31" s="39"/>
      <c r="BS31" s="39"/>
    </row>
    <row r="32">
      <c r="A32" s="27">
        <f>IFERROR(__xludf.DUMMYFUNCTION("""COMPUTED_VALUE"""),25.0)</f>
        <v>25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48"/>
      <c r="Y32" s="48"/>
      <c r="Z32" s="48"/>
      <c r="AA32" s="48"/>
      <c r="AB32" s="48"/>
      <c r="AC32" s="48"/>
      <c r="AD32" s="48"/>
      <c r="AE32" s="48"/>
      <c r="AF32" s="48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0"/>
      <c r="AS32" s="30"/>
      <c r="AT32" s="30"/>
      <c r="AU32" s="96"/>
      <c r="AV32" s="30"/>
      <c r="AW32" s="30"/>
      <c r="AX32" s="35"/>
      <c r="AY32" s="35"/>
      <c r="AZ32" s="35"/>
      <c r="BA32" s="35"/>
      <c r="BB32" s="35"/>
      <c r="BC32" s="35"/>
      <c r="BD32" s="35"/>
      <c r="BE32" s="35"/>
      <c r="BF32" s="48"/>
      <c r="BG32" s="48"/>
      <c r="BH32" s="48"/>
      <c r="BI32" s="48"/>
      <c r="BJ32" s="48"/>
      <c r="BK32" s="48"/>
      <c r="BL32" s="48"/>
      <c r="BM32" s="39"/>
      <c r="BN32" s="39"/>
      <c r="BO32" s="39"/>
      <c r="BP32" s="39"/>
      <c r="BQ32" s="39"/>
      <c r="BR32" s="39"/>
      <c r="BS32" s="39"/>
    </row>
    <row r="33">
      <c r="A33" s="27">
        <f>IFERROR(__xludf.DUMMYFUNCTION("""COMPUTED_VALUE"""),26.0)</f>
        <v>26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48"/>
      <c r="Y33" s="48"/>
      <c r="Z33" s="48"/>
      <c r="AA33" s="48"/>
      <c r="AB33" s="48"/>
      <c r="AC33" s="48"/>
      <c r="AD33" s="48"/>
      <c r="AE33" s="48"/>
      <c r="AF33" s="48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0"/>
      <c r="AS33" s="30"/>
      <c r="AT33" s="30"/>
      <c r="AU33" s="96"/>
      <c r="AV33" s="30"/>
      <c r="AW33" s="30"/>
      <c r="AX33" s="35"/>
      <c r="AY33" s="35"/>
      <c r="AZ33" s="35"/>
      <c r="BA33" s="35"/>
      <c r="BB33" s="35"/>
      <c r="BC33" s="35"/>
      <c r="BD33" s="35"/>
      <c r="BE33" s="35"/>
      <c r="BF33" s="48"/>
      <c r="BG33" s="48"/>
      <c r="BH33" s="48"/>
      <c r="BI33" s="48"/>
      <c r="BJ33" s="48"/>
      <c r="BK33" s="48"/>
      <c r="BL33" s="48"/>
      <c r="BM33" s="39"/>
      <c r="BN33" s="39"/>
      <c r="BO33" s="39"/>
      <c r="BP33" s="39"/>
      <c r="BQ33" s="39"/>
      <c r="BR33" s="39"/>
      <c r="BS33" s="39"/>
    </row>
    <row r="34">
      <c r="A34" s="106">
        <f>IFERROR(__xludf.DUMMYFUNCTION("""COMPUTED_VALUE"""),27.0)</f>
        <v>27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48"/>
      <c r="Y34" s="48"/>
      <c r="Z34" s="48"/>
      <c r="AA34" s="48"/>
      <c r="AB34" s="48"/>
      <c r="AC34" s="48"/>
      <c r="AD34" s="48"/>
      <c r="AE34" s="48"/>
      <c r="AF34" s="48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0"/>
      <c r="AS34" s="30"/>
      <c r="AT34" s="30"/>
      <c r="AU34" s="45"/>
      <c r="AV34" s="30"/>
      <c r="AW34" s="30"/>
      <c r="AX34" s="35"/>
      <c r="AY34" s="35"/>
      <c r="AZ34" s="35"/>
      <c r="BA34" s="35"/>
      <c r="BB34" s="35"/>
      <c r="BC34" s="35"/>
      <c r="BD34" s="35"/>
      <c r="BE34" s="35"/>
      <c r="BF34" s="48"/>
      <c r="BG34" s="48"/>
      <c r="BH34" s="48"/>
      <c r="BI34" s="48"/>
      <c r="BJ34" s="48"/>
      <c r="BK34" s="48"/>
      <c r="BL34" s="89"/>
      <c r="BM34" s="39"/>
      <c r="BN34" s="39"/>
      <c r="BO34" s="39"/>
      <c r="BP34" s="39"/>
      <c r="BQ34" s="39"/>
      <c r="BR34" s="39"/>
      <c r="BS34" s="39"/>
    </row>
    <row r="35">
      <c r="A35" s="107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48"/>
      <c r="Y35" s="48"/>
      <c r="Z35" s="48"/>
      <c r="AA35" s="48"/>
      <c r="AB35" s="48"/>
      <c r="AC35" s="48"/>
      <c r="AD35" s="48"/>
      <c r="AE35" s="48"/>
      <c r="AF35" s="48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0"/>
      <c r="AS35" s="30"/>
      <c r="AT35" s="30"/>
      <c r="AU35" s="30"/>
      <c r="AV35" s="30"/>
      <c r="AW35" s="30"/>
      <c r="AX35" s="35"/>
      <c r="AY35" s="35"/>
      <c r="AZ35" s="35"/>
      <c r="BA35" s="35"/>
      <c r="BB35" s="35"/>
      <c r="BC35" s="35"/>
      <c r="BD35" s="35"/>
      <c r="BE35" s="35"/>
      <c r="BF35" s="48"/>
      <c r="BG35" s="48"/>
      <c r="BH35" s="48"/>
      <c r="BI35" s="48"/>
      <c r="BJ35" s="48"/>
      <c r="BK35" s="48"/>
      <c r="BL35" s="50"/>
      <c r="BM35" s="39"/>
      <c r="BN35" s="39"/>
      <c r="BO35" s="39"/>
      <c r="BP35" s="39"/>
      <c r="BQ35" s="39"/>
      <c r="BR35" s="39"/>
      <c r="BS35" s="39"/>
    </row>
    <row r="36">
      <c r="A36" s="107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48"/>
      <c r="Y36" s="48"/>
      <c r="Z36" s="48"/>
      <c r="AA36" s="48"/>
      <c r="AB36" s="48"/>
      <c r="AC36" s="48"/>
      <c r="AD36" s="48"/>
      <c r="AE36" s="48"/>
      <c r="AF36" s="48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0"/>
      <c r="AS36" s="30"/>
      <c r="AT36" s="30"/>
      <c r="AU36" s="30"/>
      <c r="AV36" s="30"/>
      <c r="AW36" s="30"/>
      <c r="AX36" s="35"/>
      <c r="AY36" s="35"/>
      <c r="AZ36" s="35"/>
      <c r="BA36" s="35"/>
      <c r="BB36" s="35"/>
      <c r="BC36" s="35"/>
      <c r="BD36" s="35"/>
      <c r="BE36" s="35"/>
      <c r="BF36" s="48"/>
      <c r="BG36" s="48"/>
      <c r="BH36" s="48"/>
      <c r="BI36" s="48"/>
      <c r="BJ36" s="48"/>
      <c r="BK36" s="48"/>
      <c r="BL36" s="48"/>
      <c r="BM36" s="39"/>
      <c r="BN36" s="39"/>
      <c r="BO36" s="39"/>
      <c r="BP36" s="39"/>
      <c r="BQ36" s="39"/>
      <c r="BR36" s="39"/>
      <c r="BS36" s="39"/>
    </row>
    <row r="37">
      <c r="A37" s="107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48"/>
      <c r="Y37" s="48"/>
      <c r="Z37" s="48"/>
      <c r="AA37" s="48"/>
      <c r="AB37" s="48"/>
      <c r="AC37" s="48"/>
      <c r="AD37" s="48"/>
      <c r="AE37" s="48"/>
      <c r="AF37" s="48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0"/>
      <c r="AS37" s="30"/>
      <c r="AT37" s="30"/>
      <c r="AU37" s="30"/>
      <c r="AV37" s="30"/>
      <c r="AW37" s="30"/>
      <c r="AX37" s="35"/>
      <c r="AY37" s="35"/>
      <c r="AZ37" s="35"/>
      <c r="BA37" s="35"/>
      <c r="BB37" s="35"/>
      <c r="BC37" s="35"/>
      <c r="BD37" s="35"/>
      <c r="BE37" s="35"/>
      <c r="BF37" s="48"/>
      <c r="BG37" s="48"/>
      <c r="BH37" s="48"/>
      <c r="BI37" s="48"/>
      <c r="BJ37" s="48"/>
      <c r="BK37" s="48"/>
      <c r="BL37" s="48"/>
      <c r="BM37" s="39"/>
      <c r="BN37" s="39"/>
      <c r="BO37" s="39"/>
      <c r="BP37" s="39"/>
      <c r="BQ37" s="39"/>
      <c r="BR37" s="39"/>
      <c r="BS37" s="39"/>
    </row>
    <row r="38">
      <c r="A38" s="108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</row>
    <row r="39">
      <c r="A39" s="108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</row>
    <row r="40">
      <c r="A40" s="108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</row>
  </sheetData>
  <mergeCells count="75">
    <mergeCell ref="S5:T5"/>
    <mergeCell ref="X5:Y5"/>
    <mergeCell ref="Z5:AA5"/>
    <mergeCell ref="AB5:AC5"/>
    <mergeCell ref="AH5:AI5"/>
    <mergeCell ref="AJ5:AK5"/>
    <mergeCell ref="AM5:AN5"/>
    <mergeCell ref="AO5:AP5"/>
    <mergeCell ref="C5:D5"/>
    <mergeCell ref="E5:F5"/>
    <mergeCell ref="G5:H5"/>
    <mergeCell ref="J5:K5"/>
    <mergeCell ref="L5:M5"/>
    <mergeCell ref="N5:O5"/>
    <mergeCell ref="Q5:R5"/>
    <mergeCell ref="S1:T1"/>
    <mergeCell ref="X1:Y1"/>
    <mergeCell ref="Z1:AA1"/>
    <mergeCell ref="AB1:AC1"/>
    <mergeCell ref="AH1:AI1"/>
    <mergeCell ref="AJ1:AK1"/>
    <mergeCell ref="AM1:AN1"/>
    <mergeCell ref="AO1:AP1"/>
    <mergeCell ref="C1:D1"/>
    <mergeCell ref="E1:F1"/>
    <mergeCell ref="G1:H1"/>
    <mergeCell ref="J1:K1"/>
    <mergeCell ref="L1:M1"/>
    <mergeCell ref="N1:O1"/>
    <mergeCell ref="Q1:R1"/>
    <mergeCell ref="S2:T2"/>
    <mergeCell ref="X2:Y2"/>
    <mergeCell ref="Z2:AA2"/>
    <mergeCell ref="AB2:AC2"/>
    <mergeCell ref="AH2:AI2"/>
    <mergeCell ref="AJ2:AK2"/>
    <mergeCell ref="AM2:AN2"/>
    <mergeCell ref="AO2:AP2"/>
    <mergeCell ref="C2:D2"/>
    <mergeCell ref="E2:F2"/>
    <mergeCell ref="G2:H2"/>
    <mergeCell ref="J2:K2"/>
    <mergeCell ref="L2:M2"/>
    <mergeCell ref="N2:O2"/>
    <mergeCell ref="Q2:R2"/>
    <mergeCell ref="S4:T4"/>
    <mergeCell ref="X4:Y4"/>
    <mergeCell ref="Z4:AA4"/>
    <mergeCell ref="AB4:AC4"/>
    <mergeCell ref="AH4:AI4"/>
    <mergeCell ref="AJ4:AK4"/>
    <mergeCell ref="AM4:AN4"/>
    <mergeCell ref="AO4:AP4"/>
    <mergeCell ref="C4:D4"/>
    <mergeCell ref="E4:F4"/>
    <mergeCell ref="G4:H4"/>
    <mergeCell ref="J4:K4"/>
    <mergeCell ref="L4:M4"/>
    <mergeCell ref="N4:O4"/>
    <mergeCell ref="Q4:R4"/>
    <mergeCell ref="S7:T7"/>
    <mergeCell ref="X7:Y7"/>
    <mergeCell ref="Z7:AA7"/>
    <mergeCell ref="AB7:AC7"/>
    <mergeCell ref="AH7:AI7"/>
    <mergeCell ref="AJ7:AK7"/>
    <mergeCell ref="AM7:AN7"/>
    <mergeCell ref="AO7:AP7"/>
    <mergeCell ref="C7:D7"/>
    <mergeCell ref="E7:F7"/>
    <mergeCell ref="G7:H7"/>
    <mergeCell ref="J7:K7"/>
    <mergeCell ref="L7:M7"/>
    <mergeCell ref="N7:O7"/>
    <mergeCell ref="Q7:R7"/>
  </mergeCells>
  <drawing r:id="rId1"/>
</worksheet>
</file>